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K&amp;P Projects - 25-26 Fahad\RCC-ADEK School\IO\ASBUILT\"/>
    </mc:Choice>
  </mc:AlternateContent>
  <bookViews>
    <workbookView xWindow="0" yWindow="0" windowWidth="23040" windowHeight="9072"/>
  </bookViews>
  <sheets>
    <sheet name="As per Site " sheetId="1" r:id="rId1"/>
    <sheet name="Approved" sheetId="2" r:id="rId2"/>
  </sheets>
  <externalReferences>
    <externalReference r:id="rId3"/>
  </externalReferences>
  <definedNames>
    <definedName name="_xlnm._FilterDatabase" localSheetId="1" hidden="1">Approved!$A$11:$BK$1231</definedName>
    <definedName name="_xlnm._FilterDatabase" localSheetId="0" hidden="1">'As per Site '!$A$11:$BO$987</definedName>
    <definedName name="_xlnm.Print_Area" localSheetId="1">Approved!$A$1:$G$1231</definedName>
    <definedName name="_xlnm.Print_Area" localSheetId="0">'As per Site '!$A$2:$L$1061</definedName>
    <definedName name="_xlnm.Recorder">'[1]Overview discount gross &amp; trans'!$A$1:$A$65536</definedName>
    <definedName name="Recorder1">'[1]Overview discount gross &amp; trans'!$A$1:$A$65536</definedName>
    <definedName name="Sheet8" localSheetId="1">#REF!</definedName>
    <definedName name="Sheet8">#REF!</definedName>
    <definedName name="TEST" localSheetId="1">#REF!</definedName>
    <definedName name="TEST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31" i="2" l="1"/>
  <c r="F1231" i="2"/>
  <c r="E1231" i="2"/>
  <c r="D1231" i="2"/>
  <c r="C1231" i="2"/>
  <c r="G1138" i="2"/>
  <c r="G1124" i="2"/>
  <c r="F1124" i="2"/>
  <c r="E1124" i="2"/>
  <c r="D1124" i="2"/>
  <c r="C1120" i="2"/>
  <c r="C1118" i="2"/>
  <c r="D1117" i="2"/>
  <c r="C1119" i="2" s="1"/>
  <c r="C1124" i="2" s="1"/>
  <c r="G1103" i="2"/>
  <c r="F1103" i="2"/>
  <c r="E1103" i="2"/>
  <c r="C1094" i="2"/>
  <c r="C1091" i="2"/>
  <c r="C1090" i="2"/>
  <c r="C1089" i="2"/>
  <c r="C1103" i="2" s="1"/>
  <c r="D1088" i="2"/>
  <c r="D1103" i="2" s="1"/>
  <c r="F1038" i="2"/>
  <c r="E1038" i="2"/>
  <c r="D1038" i="2"/>
  <c r="G1022" i="2"/>
  <c r="G1021" i="2"/>
  <c r="C1018" i="2"/>
  <c r="C1019" i="2" s="1"/>
  <c r="C1020" i="2" s="1"/>
  <c r="G987" i="2"/>
  <c r="G1038" i="2" s="1"/>
  <c r="C986" i="2"/>
  <c r="C985" i="2"/>
  <c r="C1038" i="2" s="1"/>
  <c r="D984" i="2"/>
  <c r="G968" i="2"/>
  <c r="F968" i="2"/>
  <c r="E968" i="2"/>
  <c r="C966" i="2"/>
  <c r="C958" i="2"/>
  <c r="C957" i="2"/>
  <c r="C953" i="2"/>
  <c r="C968" i="2" s="1"/>
  <c r="C868" i="2"/>
  <c r="D867" i="2"/>
  <c r="D968" i="2" s="1"/>
  <c r="E866" i="2"/>
  <c r="G860" i="2"/>
  <c r="F860" i="2"/>
  <c r="E860" i="2"/>
  <c r="D860" i="2"/>
  <c r="C860" i="2"/>
  <c r="G815" i="2"/>
  <c r="F815" i="2"/>
  <c r="E815" i="2"/>
  <c r="D815" i="2"/>
  <c r="C766" i="2"/>
  <c r="C815" i="2" s="1"/>
  <c r="C765" i="2"/>
  <c r="C764" i="2"/>
  <c r="D763" i="2"/>
  <c r="G749" i="2"/>
  <c r="F749" i="2"/>
  <c r="E749" i="2"/>
  <c r="D749" i="2"/>
  <c r="C730" i="2"/>
  <c r="C729" i="2"/>
  <c r="C749" i="2" s="1"/>
  <c r="C725" i="2"/>
  <c r="C723" i="2"/>
  <c r="C722" i="2"/>
  <c r="C721" i="2"/>
  <c r="C681" i="2"/>
  <c r="C679" i="2"/>
  <c r="C678" i="2"/>
  <c r="C677" i="2"/>
  <c r="G671" i="2"/>
  <c r="F671" i="2"/>
  <c r="E671" i="2"/>
  <c r="D671" i="2"/>
  <c r="C669" i="2"/>
  <c r="C671" i="2" s="1"/>
  <c r="C665" i="2"/>
  <c r="C609" i="2"/>
  <c r="C605" i="2"/>
  <c r="G585" i="2"/>
  <c r="C547" i="2"/>
  <c r="C546" i="2"/>
  <c r="C545" i="2"/>
  <c r="F544" i="2"/>
  <c r="D544" i="2"/>
  <c r="C543" i="2"/>
  <c r="C542" i="2"/>
  <c r="C541" i="2"/>
  <c r="F540" i="2"/>
  <c r="D540" i="2"/>
  <c r="E537" i="2"/>
  <c r="F536" i="2"/>
  <c r="F585" i="2" s="1"/>
  <c r="E536" i="2"/>
  <c r="C535" i="2"/>
  <c r="C534" i="2"/>
  <c r="C533" i="2"/>
  <c r="C532" i="2"/>
  <c r="C531" i="2"/>
  <c r="C530" i="2"/>
  <c r="D529" i="2"/>
  <c r="E528" i="2"/>
  <c r="E527" i="2"/>
  <c r="E526" i="2"/>
  <c r="E525" i="2"/>
  <c r="E524" i="2"/>
  <c r="E523" i="2"/>
  <c r="E585" i="2" s="1"/>
  <c r="E522" i="2"/>
  <c r="C518" i="2"/>
  <c r="C516" i="2"/>
  <c r="C515" i="2"/>
  <c r="C514" i="2"/>
  <c r="C510" i="2"/>
  <c r="C509" i="2"/>
  <c r="C508" i="2"/>
  <c r="D507" i="2"/>
  <c r="D585" i="2" s="1"/>
  <c r="C503" i="2"/>
  <c r="C501" i="2"/>
  <c r="C500" i="2"/>
  <c r="C585" i="2" s="1"/>
  <c r="C499" i="2"/>
  <c r="G493" i="2"/>
  <c r="F493" i="2"/>
  <c r="E493" i="2"/>
  <c r="C484" i="2"/>
  <c r="C485" i="2" s="1"/>
  <c r="D470" i="2"/>
  <c r="D493" i="2" s="1"/>
  <c r="G435" i="2"/>
  <c r="F435" i="2"/>
  <c r="E435" i="2"/>
  <c r="D435" i="2"/>
  <c r="C435" i="2"/>
  <c r="F375" i="2"/>
  <c r="E375" i="2"/>
  <c r="D375" i="2"/>
  <c r="C365" i="2"/>
  <c r="C375" i="2" s="1"/>
  <c r="G364" i="2"/>
  <c r="C362" i="2"/>
  <c r="G363" i="2" s="1"/>
  <c r="G375" i="2" s="1"/>
  <c r="C361" i="2"/>
  <c r="C360" i="2"/>
  <c r="G275" i="2"/>
  <c r="F275" i="2"/>
  <c r="E275" i="2"/>
  <c r="D275" i="2"/>
  <c r="C267" i="2"/>
  <c r="C266" i="2"/>
  <c r="C262" i="2"/>
  <c r="C261" i="2"/>
  <c r="C257" i="2"/>
  <c r="C275" i="2" s="1"/>
  <c r="C253" i="2"/>
  <c r="C250" i="2"/>
  <c r="G244" i="2"/>
  <c r="F244" i="2"/>
  <c r="E244" i="2"/>
  <c r="D244" i="2"/>
  <c r="C236" i="2"/>
  <c r="C232" i="2"/>
  <c r="C223" i="2"/>
  <c r="C244" i="2" s="1"/>
  <c r="C222" i="2"/>
  <c r="G216" i="2"/>
  <c r="F216" i="2"/>
  <c r="C208" i="2"/>
  <c r="C207" i="2"/>
  <c r="C199" i="2"/>
  <c r="D198" i="2"/>
  <c r="D216" i="2" s="1"/>
  <c r="E197" i="2"/>
  <c r="E216" i="2" s="1"/>
  <c r="C179" i="2"/>
  <c r="C175" i="2"/>
  <c r="C171" i="2"/>
  <c r="C216" i="2" s="1"/>
  <c r="C170" i="2"/>
  <c r="G163" i="2"/>
  <c r="F163" i="2"/>
  <c r="E163" i="2"/>
  <c r="D163" i="2"/>
  <c r="C155" i="2"/>
  <c r="C151" i="2"/>
  <c r="C147" i="2"/>
  <c r="C143" i="2"/>
  <c r="C142" i="2"/>
  <c r="C138" i="2"/>
  <c r="C163" i="2" s="1"/>
  <c r="C137" i="2"/>
  <c r="G131" i="2"/>
  <c r="F131" i="2"/>
  <c r="E131" i="2"/>
  <c r="D131" i="2"/>
  <c r="C129" i="2"/>
  <c r="C114" i="2"/>
  <c r="C110" i="2"/>
  <c r="C106" i="2"/>
  <c r="C131" i="2" s="1"/>
  <c r="C102" i="2"/>
  <c r="G82" i="2"/>
  <c r="C80" i="2"/>
  <c r="C67" i="2"/>
  <c r="C66" i="2"/>
  <c r="D61" i="2"/>
  <c r="C62" i="2" s="1"/>
  <c r="E60" i="2"/>
  <c r="E55" i="2"/>
  <c r="F54" i="2"/>
  <c r="F82" i="2" s="1"/>
  <c r="E54" i="2"/>
  <c r="D50" i="2"/>
  <c r="C53" i="2" s="1"/>
  <c r="E47" i="2"/>
  <c r="E48" i="2" s="1"/>
  <c r="E49" i="2" s="1"/>
  <c r="E46" i="2"/>
  <c r="E82" i="2" s="1"/>
  <c r="G40" i="2"/>
  <c r="D40" i="2"/>
  <c r="C29" i="2"/>
  <c r="C28" i="2"/>
  <c r="E24" i="2"/>
  <c r="F23" i="2"/>
  <c r="F40" i="2" s="1"/>
  <c r="E23" i="2"/>
  <c r="C22" i="2"/>
  <c r="C21" i="2"/>
  <c r="C20" i="2"/>
  <c r="C40" i="2" s="1"/>
  <c r="D19" i="2"/>
  <c r="E17" i="2"/>
  <c r="E16" i="2"/>
  <c r="E15" i="2"/>
  <c r="C471" i="2" l="1"/>
  <c r="C472" i="2"/>
  <c r="C473" i="2"/>
  <c r="C52" i="2"/>
  <c r="D82" i="2"/>
  <c r="C51" i="2"/>
  <c r="C82" i="2" s="1"/>
  <c r="E18" i="2"/>
  <c r="E40" i="2" s="1"/>
  <c r="C493" i="2" l="1"/>
  <c r="G973" i="1" l="1"/>
  <c r="F973" i="1"/>
  <c r="E973" i="1"/>
  <c r="C971" i="1"/>
  <c r="D968" i="1"/>
  <c r="D973" i="1" s="1"/>
  <c r="G951" i="1"/>
  <c r="F951" i="1"/>
  <c r="E951" i="1"/>
  <c r="C949" i="1"/>
  <c r="C948" i="1"/>
  <c r="C947" i="1"/>
  <c r="D946" i="1"/>
  <c r="D951" i="1" s="1"/>
  <c r="C969" i="1" l="1"/>
  <c r="C970" i="1"/>
  <c r="C951" i="1"/>
  <c r="C926" i="1"/>
  <c r="C821" i="1"/>
  <c r="F823" i="1"/>
  <c r="G823" i="1"/>
  <c r="C711" i="1"/>
  <c r="C710" i="1"/>
  <c r="C709" i="1"/>
  <c r="C671" i="1"/>
  <c r="C669" i="1"/>
  <c r="C668" i="1"/>
  <c r="C664" i="1"/>
  <c r="C662" i="1"/>
  <c r="C661" i="1"/>
  <c r="D640" i="1"/>
  <c r="E640" i="1"/>
  <c r="F640" i="1"/>
  <c r="G640" i="1"/>
  <c r="E578" i="1"/>
  <c r="F578" i="1"/>
  <c r="G578" i="1"/>
  <c r="C518" i="1"/>
  <c r="C516" i="1"/>
  <c r="C515" i="1"/>
  <c r="C973" i="1" l="1"/>
  <c r="E509" i="1"/>
  <c r="F509" i="1"/>
  <c r="G509" i="1"/>
  <c r="C540" i="1"/>
  <c r="C538" i="1"/>
  <c r="C537" i="1"/>
  <c r="C525" i="1"/>
  <c r="C524" i="1"/>
  <c r="C523" i="1"/>
  <c r="D522" i="1"/>
  <c r="D578" i="1" s="1"/>
  <c r="E454" i="1"/>
  <c r="F454" i="1"/>
  <c r="G454" i="1"/>
  <c r="C306" i="1"/>
  <c r="C188" i="1"/>
  <c r="D187" i="1"/>
  <c r="E186" i="1"/>
  <c r="C113" i="1"/>
  <c r="C112" i="1"/>
  <c r="C123" i="1"/>
  <c r="C578" i="1" l="1"/>
  <c r="G987" i="1"/>
  <c r="G1061" i="1" s="1"/>
  <c r="C1061" i="1" l="1"/>
  <c r="D1061" i="1"/>
  <c r="E1061" i="1"/>
  <c r="F1061" i="1"/>
  <c r="G962" i="1" l="1"/>
  <c r="F962" i="1"/>
  <c r="E962" i="1"/>
  <c r="C960" i="1"/>
  <c r="D957" i="1"/>
  <c r="D962" i="1" s="1"/>
  <c r="G928" i="1"/>
  <c r="F928" i="1"/>
  <c r="E928" i="1"/>
  <c r="C923" i="1"/>
  <c r="C922" i="1"/>
  <c r="C921" i="1"/>
  <c r="D920" i="1"/>
  <c r="D928" i="1" s="1"/>
  <c r="F890" i="1"/>
  <c r="E890" i="1"/>
  <c r="G874" i="1"/>
  <c r="G873" i="1"/>
  <c r="C870" i="1"/>
  <c r="C871" i="1" s="1"/>
  <c r="C872" i="1" s="1"/>
  <c r="G841" i="1"/>
  <c r="C812" i="1"/>
  <c r="C811" i="1"/>
  <c r="E758" i="1"/>
  <c r="E823" i="1" s="1"/>
  <c r="G752" i="1"/>
  <c r="F752" i="1"/>
  <c r="E752" i="1"/>
  <c r="D752" i="1"/>
  <c r="C752" i="1"/>
  <c r="G703" i="1"/>
  <c r="F703" i="1"/>
  <c r="E703" i="1"/>
  <c r="C655" i="1"/>
  <c r="D654" i="1"/>
  <c r="D703" i="1" s="1"/>
  <c r="C629" i="1"/>
  <c r="C628" i="1"/>
  <c r="C594" i="1"/>
  <c r="C592" i="1"/>
  <c r="C591" i="1"/>
  <c r="C587" i="1"/>
  <c r="C585" i="1"/>
  <c r="C584" i="1"/>
  <c r="C477" i="1"/>
  <c r="C475" i="1"/>
  <c r="C474" i="1"/>
  <c r="C470" i="1"/>
  <c r="C469" i="1"/>
  <c r="C468" i="1"/>
  <c r="D467" i="1"/>
  <c r="D509" i="1" s="1"/>
  <c r="C463" i="1"/>
  <c r="C461" i="1"/>
  <c r="C460" i="1"/>
  <c r="D440" i="1"/>
  <c r="G365" i="1"/>
  <c r="F365" i="1"/>
  <c r="E365" i="1"/>
  <c r="D365" i="1"/>
  <c r="C365" i="1"/>
  <c r="F308" i="1"/>
  <c r="E308" i="1"/>
  <c r="D308" i="1"/>
  <c r="C290" i="1"/>
  <c r="G213" i="1"/>
  <c r="F213" i="1"/>
  <c r="E213" i="1"/>
  <c r="D213" i="1"/>
  <c r="C205" i="1"/>
  <c r="C204" i="1"/>
  <c r="C200" i="1"/>
  <c r="C199" i="1"/>
  <c r="C196" i="1"/>
  <c r="G190" i="1"/>
  <c r="F190" i="1"/>
  <c r="E190" i="1"/>
  <c r="D190" i="1"/>
  <c r="C171" i="1"/>
  <c r="C170" i="1"/>
  <c r="G164" i="1"/>
  <c r="F164" i="1"/>
  <c r="C156" i="1"/>
  <c r="C155" i="1"/>
  <c r="C147" i="1"/>
  <c r="D146" i="1"/>
  <c r="D164" i="1" s="1"/>
  <c r="E145" i="1"/>
  <c r="E164" i="1" s="1"/>
  <c r="C131" i="1"/>
  <c r="C130" i="1"/>
  <c r="G124" i="1"/>
  <c r="F124" i="1"/>
  <c r="E124" i="1"/>
  <c r="D124" i="1"/>
  <c r="C108" i="1"/>
  <c r="C107" i="1"/>
  <c r="C103" i="1"/>
  <c r="C102" i="1"/>
  <c r="G96" i="1"/>
  <c r="F96" i="1"/>
  <c r="E96" i="1"/>
  <c r="D96" i="1"/>
  <c r="C83" i="1"/>
  <c r="G67" i="1"/>
  <c r="C60" i="1"/>
  <c r="C59" i="1"/>
  <c r="D54" i="1"/>
  <c r="C55" i="1" s="1"/>
  <c r="E53" i="1"/>
  <c r="E49" i="1"/>
  <c r="F48" i="1"/>
  <c r="F67" i="1" s="1"/>
  <c r="E48" i="1"/>
  <c r="D44" i="1"/>
  <c r="C45" i="1" s="1"/>
  <c r="G35" i="1"/>
  <c r="C28" i="1"/>
  <c r="C27" i="1"/>
  <c r="E23" i="1"/>
  <c r="F22" i="1"/>
  <c r="F35" i="1" s="1"/>
  <c r="E22" i="1"/>
  <c r="D18" i="1"/>
  <c r="C21" i="1" s="1"/>
  <c r="C640" i="1" l="1"/>
  <c r="C509" i="1"/>
  <c r="C443" i="1"/>
  <c r="D454" i="1"/>
  <c r="E35" i="1"/>
  <c r="C213" i="1"/>
  <c r="C190" i="1"/>
  <c r="C928" i="1"/>
  <c r="G890" i="1"/>
  <c r="D35" i="1"/>
  <c r="C164" i="1"/>
  <c r="C124" i="1"/>
  <c r="C46" i="1"/>
  <c r="C47" i="1"/>
  <c r="C96" i="1"/>
  <c r="E67" i="1"/>
  <c r="C20" i="1"/>
  <c r="C294" i="1"/>
  <c r="D67" i="1"/>
  <c r="D890" i="1"/>
  <c r="C291" i="1"/>
  <c r="C656" i="1"/>
  <c r="C657" i="1"/>
  <c r="D759" i="1"/>
  <c r="D823" i="1" s="1"/>
  <c r="C890" i="1"/>
  <c r="C959" i="1"/>
  <c r="C958" i="1"/>
  <c r="C760" i="1"/>
  <c r="C823" i="1" s="1"/>
  <c r="C19" i="1"/>
  <c r="C441" i="1"/>
  <c r="C442" i="1"/>
  <c r="C308" i="1" l="1"/>
  <c r="C454" i="1"/>
  <c r="C67" i="1"/>
  <c r="C962" i="1"/>
  <c r="C703" i="1"/>
  <c r="C35" i="1"/>
  <c r="G308" i="1"/>
</calcChain>
</file>

<file path=xl/comments1.xml><?xml version="1.0" encoding="utf-8"?>
<comments xmlns="http://schemas.openxmlformats.org/spreadsheetml/2006/main">
  <authors>
    <author>HP</author>
  </authors>
  <commentList>
    <comment ref="G991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need exact requirement  from client for breakdown</t>
        </r>
      </text>
    </comment>
    <comment ref="G1026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Cannot decided without exact requirement from client</t>
        </r>
      </text>
    </comment>
    <comment ref="G1027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Cannot decided without exact requirement from client</t>
        </r>
      </text>
    </comment>
  </commentList>
</comments>
</file>

<file path=xl/comments2.xml><?xml version="1.0" encoding="utf-8"?>
<comments xmlns="http://schemas.openxmlformats.org/spreadsheetml/2006/main">
  <authors>
    <author>HP</author>
  </authors>
  <commentList>
    <comment ref="G1142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need exact requirement  from client for breakdown</t>
        </r>
      </text>
    </comment>
    <comment ref="G1174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Cannot decided without exact requirement from client</t>
        </r>
      </text>
    </comment>
  </commentList>
</comments>
</file>

<file path=xl/sharedStrings.xml><?xml version="1.0" encoding="utf-8"?>
<sst xmlns="http://schemas.openxmlformats.org/spreadsheetml/2006/main" count="2605" uniqueCount="477">
  <si>
    <t>Quantity</t>
  </si>
  <si>
    <t>LOCATION OF EQUIPMENT</t>
  </si>
  <si>
    <t>Required Points</t>
  </si>
  <si>
    <t>Start From Here</t>
  </si>
  <si>
    <t>DI-Hardware/Software</t>
  </si>
  <si>
    <t>DO-Hardware/Software</t>
  </si>
  <si>
    <t>AI-Hardware/Software</t>
  </si>
  <si>
    <t>AO-Hardware/Software</t>
  </si>
  <si>
    <t>Integration Points</t>
  </si>
  <si>
    <t>TOTAL (1 System)</t>
  </si>
  <si>
    <t>TOTAL</t>
  </si>
  <si>
    <t>Qty</t>
  </si>
  <si>
    <t>DDC-GF-01 (ELECTRICAL ROOM Z4PT3)</t>
  </si>
  <si>
    <t>Ceiling Air Handling Unit</t>
  </si>
  <si>
    <t>CAHU-4,5,6</t>
  </si>
  <si>
    <t>Supply temperature &amp; humidity</t>
  </si>
  <si>
    <t>Return air temperature</t>
  </si>
  <si>
    <t>Space temperature</t>
  </si>
  <si>
    <t>Carbon dioxide level</t>
  </si>
  <si>
    <t>Supply fan start/stop command</t>
  </si>
  <si>
    <t>Supply fan ON/OFF status</t>
  </si>
  <si>
    <t>Supply fan trip status</t>
  </si>
  <si>
    <t>Supply fan proof of flow</t>
  </si>
  <si>
    <t>Chilled water valve position command &amp; feedback</t>
  </si>
  <si>
    <t>Chilled water return temperature</t>
  </si>
  <si>
    <t>SMDB</t>
  </si>
  <si>
    <t>Run status of CB</t>
  </si>
  <si>
    <t>Trip status</t>
  </si>
  <si>
    <t>Leak Detection System</t>
  </si>
  <si>
    <t>ESMDB</t>
  </si>
  <si>
    <t>DDC-GF-02 (EQUIPMENT ROOM - Z4PT1 )</t>
  </si>
  <si>
    <t>CAHU-1,2,3</t>
  </si>
  <si>
    <t>DX Unit</t>
  </si>
  <si>
    <t>IDU-GF-04(UPS Room),05 (SEC. Room)</t>
  </si>
  <si>
    <t>Space Temperature</t>
  </si>
  <si>
    <t xml:space="preserve">Unit enable/disable command </t>
  </si>
  <si>
    <t>Split unit status</t>
  </si>
  <si>
    <t>CCTV RACK</t>
  </si>
  <si>
    <t>Main On/Off status</t>
  </si>
  <si>
    <t>UPS On/Off Status</t>
  </si>
  <si>
    <t>PAVA System</t>
  </si>
  <si>
    <t>Unit on/off status</t>
  </si>
  <si>
    <t>Normal/fault status</t>
  </si>
  <si>
    <t>Unit normal/fault</t>
  </si>
  <si>
    <t>DDC-GF-03 (FCC ROOM - Z1PT2 )</t>
  </si>
  <si>
    <t>Disabled Toilet Alarm</t>
  </si>
  <si>
    <t>Common fault alarm</t>
  </si>
  <si>
    <t>IDU-GF-01 (FCC Room)</t>
  </si>
  <si>
    <t>SMDB-EV-EXT</t>
  </si>
  <si>
    <t>DDC-GF-04 (STORAGE ROOM - Z1PT1 )</t>
  </si>
  <si>
    <t>SMDB-GF-04</t>
  </si>
  <si>
    <t>ESMDB-GF-4</t>
  </si>
  <si>
    <t>Lift-4</t>
  </si>
  <si>
    <t>Run status</t>
  </si>
  <si>
    <t>Cabin Call Alarm</t>
  </si>
  <si>
    <t>Fault Status</t>
  </si>
  <si>
    <t>QTY</t>
  </si>
  <si>
    <t>DDC-GF-05 (ELECTRICAL ROOM - Z3PT2)</t>
  </si>
  <si>
    <t>ESMDB-GF-01</t>
  </si>
  <si>
    <t>USMDB</t>
  </si>
  <si>
    <t>USMDB-GF-01</t>
  </si>
  <si>
    <t>Master Clock System</t>
  </si>
  <si>
    <t>Lift-1</t>
  </si>
  <si>
    <t>DDC-FF-01 (ELECTRICAL ROOM - Z3PT3)</t>
  </si>
  <si>
    <t>SMDB-FF-02,SF-02,GF-2</t>
  </si>
  <si>
    <t>ESMDB-GF-02</t>
  </si>
  <si>
    <t>Lift-2</t>
  </si>
  <si>
    <t>DDC-FF-02 (ELECTRICAL ROOM -Z2PT3 )</t>
  </si>
  <si>
    <t>ESMDB-GF-03</t>
  </si>
  <si>
    <t>Lift-3</t>
  </si>
  <si>
    <t>DDC-SF-01 (ROOF -Z4 )</t>
  </si>
  <si>
    <t>Air Handling Unit - Swimming Pool (AHU-SF-02)</t>
  </si>
  <si>
    <t>Fresh air temperature &amp; humidity</t>
  </si>
  <si>
    <t>Supply fan auto position</t>
  </si>
  <si>
    <t>Supply fan VFD command &amp; feedback</t>
  </si>
  <si>
    <t>Smoke detection</t>
  </si>
  <si>
    <t>Exhaust fan VFD command &amp; feedback</t>
  </si>
  <si>
    <t>Exhaust fan start/stop command</t>
  </si>
  <si>
    <t>Exhaust fan ON/OFF status</t>
  </si>
  <si>
    <t>Exhaust fan trip status</t>
  </si>
  <si>
    <t>Exhaust fan auto position</t>
  </si>
  <si>
    <t>Exhaust fan Proof of flow</t>
  </si>
  <si>
    <t>Exhaust temperature &amp; humidity</t>
  </si>
  <si>
    <t>Total Recovery wheel start/stop command</t>
  </si>
  <si>
    <t>Total Recovery wheel on/off status</t>
  </si>
  <si>
    <t>Total Recovery wheel fault status</t>
  </si>
  <si>
    <t>Fresh air wheel leaving temperature &amp; humidity</t>
  </si>
  <si>
    <t>Reheat valve command and feedback</t>
  </si>
  <si>
    <t>Dehumidifier</t>
  </si>
  <si>
    <t>SMDB-SF-01</t>
  </si>
  <si>
    <t>Air Handling Unit - Gymnasium</t>
  </si>
  <si>
    <t>Smoke Extract Fan</t>
  </si>
  <si>
    <t>SEF-RF-15,SEF-RF-16</t>
  </si>
  <si>
    <t>Fan trip status</t>
  </si>
  <si>
    <t>Smoke detector by fire alarm</t>
  </si>
  <si>
    <t>Fire alarm signal</t>
  </si>
  <si>
    <t>Fan in AUTO position at MCC</t>
  </si>
  <si>
    <t>Staircase Pressurization Fan</t>
  </si>
  <si>
    <t>PF-RF-06</t>
  </si>
  <si>
    <t>Fan start/stop command (By Fire Alarm)</t>
  </si>
  <si>
    <t>Fan run status</t>
  </si>
  <si>
    <t>Fan in OFF position at MCC</t>
  </si>
  <si>
    <t>DDC-SF-02 (ROOF -Z1 )</t>
  </si>
  <si>
    <t>Air Handling Unit with Heat Recovery</t>
  </si>
  <si>
    <t>HRAHU-RF-06</t>
  </si>
  <si>
    <t>Fresh air leaving wheel temp &amp; RH</t>
  </si>
  <si>
    <t>Fresh air flow</t>
  </si>
  <si>
    <t>Total recovery wheel start/stop command</t>
  </si>
  <si>
    <t>Total recovery wheel on/off status</t>
  </si>
  <si>
    <t>Total recovery wheel fault status</t>
  </si>
  <si>
    <t>Chilled water pressure independent valve control &amp; position</t>
  </si>
  <si>
    <t>Duct static pressure plus high limit</t>
  </si>
  <si>
    <t>Supply fan control</t>
  </si>
  <si>
    <t>Supply fan running status</t>
  </si>
  <si>
    <t>Supply fan trip</t>
  </si>
  <si>
    <t>Supply fan auto status</t>
  </si>
  <si>
    <t>Exhaust fan control</t>
  </si>
  <si>
    <t>Exhaust fan running status</t>
  </si>
  <si>
    <t>Exhaust fan trip</t>
  </si>
  <si>
    <t>Exhaust fan auto status</t>
  </si>
  <si>
    <t>SEF-RF-02</t>
  </si>
  <si>
    <t>PF-RF-05</t>
  </si>
  <si>
    <t>SMDB-SF1</t>
  </si>
  <si>
    <t>Lift-5</t>
  </si>
  <si>
    <t>DDC-RF-01 (ROOF -Z3PT1 )</t>
  </si>
  <si>
    <t>Return filter dirty status</t>
  </si>
  <si>
    <t>Supply fan  control</t>
  </si>
  <si>
    <t xml:space="preserve">Supply fan trip </t>
  </si>
  <si>
    <t xml:space="preserve">Supply fan auto status </t>
  </si>
  <si>
    <t xml:space="preserve">Exhaust fan trip </t>
  </si>
  <si>
    <t>Exhaust Fan</t>
  </si>
  <si>
    <t xml:space="preserve">Fan start/stop command </t>
  </si>
  <si>
    <t>Fan running status</t>
  </si>
  <si>
    <t>Fan auto status</t>
  </si>
  <si>
    <t>Pump run status</t>
  </si>
  <si>
    <t>Pump trip status</t>
  </si>
  <si>
    <t>DDC-RF-02 (ROOF -Z2PT1 )</t>
  </si>
  <si>
    <t>Smoke Makeup Fan</t>
  </si>
  <si>
    <t>DX- Air Handling Unit</t>
  </si>
  <si>
    <t>AHU-RF-01-DX</t>
  </si>
  <si>
    <t>Supply fan run status</t>
  </si>
  <si>
    <t>Supply fan HOA status</t>
  </si>
  <si>
    <t xml:space="preserve">Smoke Detector </t>
  </si>
  <si>
    <t>PF-RF-02</t>
  </si>
  <si>
    <t>DDC-RF-03 (ROOF -Z3PT1 )</t>
  </si>
  <si>
    <t>SMDB-RF1</t>
  </si>
  <si>
    <t>ESMDB-RF1</t>
  </si>
  <si>
    <t>Booster Pump (2D/1S)</t>
  </si>
  <si>
    <t>Pump ON/OFF status</t>
  </si>
  <si>
    <t>Pump in auto position status</t>
  </si>
  <si>
    <t>Hot Water Circulation Pump (1D+1S)</t>
  </si>
  <si>
    <t>Cold Water Circulation Pump (1D+1S)</t>
  </si>
  <si>
    <t>UV Sterilization</t>
  </si>
  <si>
    <t>Filter dirty status</t>
  </si>
  <si>
    <t>Solar Heating System with Calorifiers</t>
  </si>
  <si>
    <t>MAF-RF-06</t>
  </si>
  <si>
    <t>Water Tank</t>
  </si>
  <si>
    <t>Water high &amp; low level status</t>
  </si>
  <si>
    <t>Tank level</t>
  </si>
  <si>
    <t>DDC-RF-04 (ROOF -Z2PT3 )</t>
  </si>
  <si>
    <t>SMDB-RF2,SF3</t>
  </si>
  <si>
    <t>ESMDB-RF2</t>
  </si>
  <si>
    <t>Outside Temperature &amp; Humidity Sensor</t>
  </si>
  <si>
    <t>DDC-RF-05 (Z3PT3)</t>
  </si>
  <si>
    <t>PF-RF-03</t>
  </si>
  <si>
    <t>DDC-SP-01 (SWP PUMP ROOM)</t>
  </si>
  <si>
    <t>Unit run status</t>
  </si>
  <si>
    <t>Sump Pump (1D+1S)</t>
  </si>
  <si>
    <t>Pump status</t>
  </si>
  <si>
    <t>Sump pit high level alarm</t>
  </si>
  <si>
    <t>Sump pit low level alarm</t>
  </si>
  <si>
    <t>GRP Surge Tank</t>
  </si>
  <si>
    <t>WT-BNSP2-RF-01</t>
  </si>
  <si>
    <t>DDC-SB-01 (SUBSTATION BLDG.)</t>
  </si>
  <si>
    <t>Capacitor Bank</t>
  </si>
  <si>
    <t>IDU-GF-02 (Telecom Room),GF-03 (MV Room)</t>
  </si>
  <si>
    <t>Generator Exhaust Fan</t>
  </si>
  <si>
    <t>EF-GF-01</t>
  </si>
  <si>
    <t>ATS</t>
  </si>
  <si>
    <t>On status of Incomer CB</t>
  </si>
  <si>
    <t>Off status of Incomer CB</t>
  </si>
  <si>
    <t>By pass position</t>
  </si>
  <si>
    <t>Normal fault status</t>
  </si>
  <si>
    <t>AHU-Cooling Coil</t>
  </si>
  <si>
    <t>Smoke Detector</t>
  </si>
  <si>
    <t>SMDB-LV</t>
  </si>
  <si>
    <t>MDB</t>
  </si>
  <si>
    <t>MDB-01,02,03</t>
  </si>
  <si>
    <t>Main incomer Run status of CB</t>
  </si>
  <si>
    <t>Main incomer Trip status of CB</t>
  </si>
  <si>
    <t>EMDB</t>
  </si>
  <si>
    <t>DDC-LG-01(LOWER GROUND PUMP ROOM)</t>
  </si>
  <si>
    <t>GRP Water Tank</t>
  </si>
  <si>
    <t>RCC Water Tank</t>
  </si>
  <si>
    <t>Intenal &amp; External Irrigation Pump (1D+1S)</t>
  </si>
  <si>
    <t>High consumption</t>
  </si>
  <si>
    <t>Transfer Pump (1D+1S)</t>
  </si>
  <si>
    <t>TRP-BNSP2-LG-01&amp;02</t>
  </si>
  <si>
    <t>Pump in AUTO position at MCC</t>
  </si>
  <si>
    <t>Fire Water Circulation Pump (1D+1S)</t>
  </si>
  <si>
    <t>CRP-BNSP2-LG-01&amp;02</t>
  </si>
  <si>
    <t>Pump HOA status</t>
  </si>
  <si>
    <t>Multimedia Filter (2D)</t>
  </si>
  <si>
    <t>SDF-BNSP2-LG-01&amp;02</t>
  </si>
  <si>
    <t>Fire Pump (1D+1E+1J)</t>
  </si>
  <si>
    <t>Electric pump run status</t>
  </si>
  <si>
    <t>Electric pump fault status</t>
  </si>
  <si>
    <t>Disel pump run status</t>
  </si>
  <si>
    <t>Disel pump fault status</t>
  </si>
  <si>
    <t>Jockey pump run status</t>
  </si>
  <si>
    <t>Static pressure</t>
  </si>
  <si>
    <t>Sump Pump (1D+1S) - 01,02</t>
  </si>
  <si>
    <t>Pump Auto Status</t>
  </si>
  <si>
    <t>Fire Room Makeup Air Fan</t>
  </si>
  <si>
    <t>MAF-LG-02</t>
  </si>
  <si>
    <t>Motorized damper open/close status</t>
  </si>
  <si>
    <t>Fan AUTO status</t>
  </si>
  <si>
    <t>Fire Room Exhaust Fan</t>
  </si>
  <si>
    <t>EF-LG-02</t>
  </si>
  <si>
    <t>DDC-LG-02(LOWER GROUND PARKING AREA)</t>
  </si>
  <si>
    <t>SMDB-LG-PB</t>
  </si>
  <si>
    <t>ESMDB-LG-PB</t>
  </si>
  <si>
    <t>IDU-LG-01 (Serving Meter Room)</t>
  </si>
  <si>
    <t>Start/Stop Low Speed Command</t>
  </si>
  <si>
    <t>RUN Status</t>
  </si>
  <si>
    <t>Trip Status</t>
  </si>
  <si>
    <t>Auto Status</t>
  </si>
  <si>
    <t>DDC-UG-01(UPPER GROUND PARKING AREA)</t>
  </si>
  <si>
    <t xml:space="preserve">SOFTWARE INTEGRATION </t>
  </si>
  <si>
    <t>Chiller Plant Manager</t>
  </si>
  <si>
    <t>CRAC</t>
  </si>
  <si>
    <t>FCU Commuicating Modulating</t>
  </si>
  <si>
    <t>Fire Alarm Control Panel</t>
  </si>
  <si>
    <t>Central Battery System</t>
  </si>
  <si>
    <t>Generator</t>
  </si>
  <si>
    <t>Lighting Control System</t>
  </si>
  <si>
    <t>AV System</t>
  </si>
  <si>
    <t>Energy Meter (PMU)</t>
  </si>
  <si>
    <t>Water Meter</t>
  </si>
  <si>
    <t>ACCESS CONTROL</t>
  </si>
  <si>
    <t>EV Charging Station</t>
  </si>
  <si>
    <t>via IP integration</t>
  </si>
  <si>
    <t>Bacnet MS/TP Software integration</t>
  </si>
  <si>
    <t>Outdoor Pre Insulated Pipe Leak Detection System</t>
  </si>
  <si>
    <t>Leak Detection Alarm</t>
  </si>
  <si>
    <t>UPS - Uninterruptible Power Supply</t>
  </si>
  <si>
    <t>Irrigation System Controller</t>
  </si>
  <si>
    <t>via Bacnet IP Integration</t>
  </si>
  <si>
    <t xml:space="preserve">Exhaust Fan </t>
  </si>
  <si>
    <t>EF-RF-08 (Kitchen &amp; Garbage Room), EF-RF-09 (UPS Room)</t>
  </si>
  <si>
    <t>via Modbus integration</t>
  </si>
  <si>
    <t>Modbus RS485 Integration</t>
  </si>
  <si>
    <t>Breaker Status</t>
  </si>
  <si>
    <t>Lead and lag power factor</t>
  </si>
  <si>
    <t>Over voltage</t>
  </si>
  <si>
    <t>Over current</t>
  </si>
  <si>
    <t>Over temperature</t>
  </si>
  <si>
    <t>Frequency</t>
  </si>
  <si>
    <t>SERVER ROOM - Leak Detection System</t>
  </si>
  <si>
    <t>Return air/Space temperature</t>
  </si>
  <si>
    <t>SMDB-GF-MP</t>
  </si>
  <si>
    <t>Gate Barrier - 1/1 , 1/2 , 2/1 , 2/2 , 3/1, 3/2</t>
  </si>
  <si>
    <t xml:space="preserve">Air Curtain - AC-01,AC-02,AC-05 </t>
  </si>
  <si>
    <t>SMDB-FF-04</t>
  </si>
  <si>
    <t>IDU-GF-06 (UPS Room)</t>
  </si>
  <si>
    <t>SMDB-FF-01,GF-01,SF-01</t>
  </si>
  <si>
    <t>IDU-GF-07 (GSM Room)</t>
  </si>
  <si>
    <t>Air Curtain - AC-03,04,06</t>
  </si>
  <si>
    <t>SMDB-GF-03,FF-03,SF-03</t>
  </si>
  <si>
    <t>Pre &amp; Bag filter dirty status</t>
  </si>
  <si>
    <t>Carbon dioxide level- Space</t>
  </si>
  <si>
    <t>Carbon dioxide level - Duct</t>
  </si>
  <si>
    <t>Return Air Temp and Humidity (Duct &amp; wall)</t>
  </si>
  <si>
    <t>Wall mount Thermostat</t>
  </si>
  <si>
    <t>Dampers open/close status</t>
  </si>
  <si>
    <t>Fresh/Exhaust air damper open/close status</t>
  </si>
  <si>
    <t>Air Curtain - AC-07,08</t>
  </si>
  <si>
    <t>Return/Space air temperature</t>
  </si>
  <si>
    <t>Pre&amp;Bag filter dirty status</t>
  </si>
  <si>
    <t>HRAHU-RF-05 (MCC &amp; Field Side)</t>
  </si>
  <si>
    <t>HRAHU-RF-01 (MCC &amp; Field Side)</t>
  </si>
  <si>
    <t>HRAHU-RF-02 (MCC Side)</t>
  </si>
  <si>
    <t>Fan in Auto position at MCC</t>
  </si>
  <si>
    <t>SEF-RF-06</t>
  </si>
  <si>
    <t>EF-RF-01 (BIO -LAB) ,EF-RF-02 (HEALTH-SCIENCE LAB )</t>
  </si>
  <si>
    <t xml:space="preserve">CU/AG IONIZER </t>
  </si>
  <si>
    <t>on/off status</t>
  </si>
  <si>
    <t>fault alarm</t>
  </si>
  <si>
    <t>EF-RF-03 (CHEM LAB) ,EF-RF-11 (NATURALIZATION ROOM)</t>
  </si>
  <si>
    <t>SEF-RF-01,RF-04</t>
  </si>
  <si>
    <t>MAF-RF-01, RF-04</t>
  </si>
  <si>
    <t>Fresh/Return air damper open/close status</t>
  </si>
  <si>
    <t>Supply Fan VFD Command &amp; Feedback</t>
  </si>
  <si>
    <t xml:space="preserve">Off coil temperature &amp; humidity </t>
  </si>
  <si>
    <t>Return/Space temperature</t>
  </si>
  <si>
    <t>HRAHU-RF-02 ( Field Side)</t>
  </si>
  <si>
    <t>SMDB-SF4</t>
  </si>
  <si>
    <t>HRAHU-RF-03 (MCC Side)</t>
  </si>
  <si>
    <t>HRAHU-RF-04 (MCC Side)</t>
  </si>
  <si>
    <t>SEF-RF-03</t>
  </si>
  <si>
    <t>MAF-RF-03</t>
  </si>
  <si>
    <t>EF-RF-05 (GF CAFETERIA ),EF-RF-06 (BIO -LAB),
EF-RF-07 (HEALTH - SCIENCE LAB), EF-RF-04 (CHEM LAB)</t>
  </si>
  <si>
    <t>MAF-RF-07,RF-05</t>
  </si>
  <si>
    <t>SEF-RF-07,RF-05</t>
  </si>
  <si>
    <t>HRAHU-RF-03 ( Field Side)</t>
  </si>
  <si>
    <t>HRAHU-RF-04 ( Field Side)</t>
  </si>
  <si>
    <t xml:space="preserve">Filter &amp; Treatment Pumpset </t>
  </si>
  <si>
    <t>CRP-BNSP2-LG-01,02,03,04</t>
  </si>
  <si>
    <t>Pump Run Status</t>
  </si>
  <si>
    <t>Pump Trip Status</t>
  </si>
  <si>
    <t>FP-BNSP2-LG-01,02</t>
  </si>
  <si>
    <t>Swimming Pool Booster Pump (1D+1S)</t>
  </si>
  <si>
    <t>Auto Chemical Dosing Unit</t>
  </si>
  <si>
    <t>Backwash Filters</t>
  </si>
  <si>
    <t>UV Sterilization Unit</t>
  </si>
  <si>
    <t>Dosing Unit</t>
  </si>
  <si>
    <t>EF-GF-02 (SOLID WASTE ROOM)</t>
  </si>
  <si>
    <t xml:space="preserve">Gate Barrier - 4/1 , 4/2 , 5/1 , 5/2 </t>
  </si>
  <si>
    <t>Supply damper open/close status</t>
  </si>
  <si>
    <t>AHU-GF-01, AHU-GF-02-DX</t>
  </si>
  <si>
    <t>Jet Fans (JF-LG-19:26)</t>
  </si>
  <si>
    <t>Gate Barrier 6/1 , 6/2 , PB1,PB2,PB3</t>
  </si>
  <si>
    <t>DDC-LG-03(LOWER GROUND PARKING AREA)</t>
  </si>
  <si>
    <t>SMDB-EV-PB</t>
  </si>
  <si>
    <t>Sump Pump-LG-02 (1D+1S)</t>
  </si>
  <si>
    <t>Sump Pump-LG-03 (1D+1S)</t>
  </si>
  <si>
    <t>Jet Fans (JF-LG-1:18)</t>
  </si>
  <si>
    <t>DDC-UG-02(UPPER GROUND PARKING AREA)</t>
  </si>
  <si>
    <t>Jet Fans (JF-UG-1:7,9,11)</t>
  </si>
  <si>
    <t>Jet Fans (JF-UG-8,10,12:26)</t>
  </si>
  <si>
    <t>Fault status</t>
  </si>
  <si>
    <t>Run Status</t>
  </si>
  <si>
    <t>Swimming Pool Underwater Lights</t>
  </si>
  <si>
    <t>On/Off Status</t>
  </si>
  <si>
    <t>Zone Wise Alarms</t>
  </si>
  <si>
    <t>Main Fire Alarm</t>
  </si>
  <si>
    <t>Smoke Detectors</t>
  </si>
  <si>
    <t xml:space="preserve">Motorized Smoke Dampers </t>
  </si>
  <si>
    <t>SMDB-GF-MP, SMDB-FF-02</t>
  </si>
  <si>
    <t>ESMDB-GF-MP</t>
  </si>
  <si>
    <t>Novec System</t>
  </si>
  <si>
    <t>Gate Barrier - 10,11,12</t>
  </si>
  <si>
    <t>Gate Barrier - 13,14,15</t>
  </si>
  <si>
    <t>Access Control Panel</t>
  </si>
  <si>
    <t>Power on/off status</t>
  </si>
  <si>
    <t>Air Curtain</t>
  </si>
  <si>
    <t>SMDB-FF-01,GF-01</t>
  </si>
  <si>
    <t>IDU-GF-06 (UPS Room),07(Telecom Room),08(GSM Room)</t>
  </si>
  <si>
    <t>SMDB-GF-03,FF-03</t>
  </si>
  <si>
    <t>Return air temperature &amp; humidity</t>
  </si>
  <si>
    <t>Fresh air damper open/close status</t>
  </si>
  <si>
    <t>Return air damper open/close status</t>
  </si>
  <si>
    <t>Exhaust air damper open/close status</t>
  </si>
  <si>
    <t>Pre filter dirty status</t>
  </si>
  <si>
    <t>Bag filter dirty status</t>
  </si>
  <si>
    <t>Carbon dioxide level (Duct) 3 nos - multiple return duct branches</t>
  </si>
  <si>
    <t>Carbon dioxide level (Space) 2 nos in hall</t>
  </si>
  <si>
    <t>Return Air Temp and Humidity (Duct &amp; wall) multiple  Branches</t>
  </si>
  <si>
    <t>Wall mount Thermostats x 2 for Sace temp plus Set point</t>
  </si>
  <si>
    <t>Return air damper control &amp; position</t>
  </si>
  <si>
    <t>Fan ON/OFF status</t>
  </si>
  <si>
    <t>Proof of flow</t>
  </si>
  <si>
    <t>HRAHU-RF-05</t>
  </si>
  <si>
    <t>Exhaust air damper open/close  status</t>
  </si>
  <si>
    <t>Swimming Pool Room Exhaust Fan</t>
  </si>
  <si>
    <t>EF-LG-01</t>
  </si>
  <si>
    <t>Heat Pumps (1D+1S)</t>
  </si>
  <si>
    <t>HP-BNSP2-RF-01,02</t>
  </si>
  <si>
    <t>Pressurization Unit with Feeder Tank (1D + 1S)</t>
  </si>
  <si>
    <t>Line Pressure</t>
  </si>
  <si>
    <t>SEF-RF-06,RF-04,RF-01</t>
  </si>
  <si>
    <t>EF-RF-01 (BIO -LAB) ,EF-RF-02 (HEALTH-SCIENCE LAB ),
EF-RF-03 (CHEM LAB) ,EF-RF-11 (NATURALIZATION ROOM)</t>
  </si>
  <si>
    <t>MAF-RF-04,RF-01</t>
  </si>
  <si>
    <t>Fan on/off status</t>
  </si>
  <si>
    <t>HRAHU-RF-01,RF-02</t>
  </si>
  <si>
    <t>Exhaust fan Control</t>
  </si>
  <si>
    <t>Return temperature &amp; humidity</t>
  </si>
  <si>
    <t xml:space="preserve">CU start/stop command </t>
  </si>
  <si>
    <t>CU Run Status</t>
  </si>
  <si>
    <t>Off coil temperature</t>
  </si>
  <si>
    <t xml:space="preserve">Pump enable/disable command </t>
  </si>
  <si>
    <t>Pump VFD speed display</t>
  </si>
  <si>
    <t>Pump VFD trip status</t>
  </si>
  <si>
    <t>Pump VFD status</t>
  </si>
  <si>
    <t xml:space="preserve">Pump VFD speed control </t>
  </si>
  <si>
    <t>Water volume</t>
  </si>
  <si>
    <t>High consumption alarm</t>
  </si>
  <si>
    <t xml:space="preserve">Pump start/stop command </t>
  </si>
  <si>
    <t>Copper Silver Ionizer</t>
  </si>
  <si>
    <t>Chemical Dosing Unit</t>
  </si>
  <si>
    <t>Access Control Panel - SF</t>
  </si>
  <si>
    <t>SEF-RF-05,RF-03</t>
  </si>
  <si>
    <t>HRAHU-RF-03</t>
  </si>
  <si>
    <t>EF-RF-04 (CHEM LAB)</t>
  </si>
  <si>
    <t>MAF-RF-05,RF-03</t>
  </si>
  <si>
    <t>EF-RF-05 (GF CAFETERIA ),EF-RF-06 (BIO -LAB),
EF-RF-07 (HEALTH - SCIENCE LAB)</t>
  </si>
  <si>
    <t>MAF-RF-07</t>
  </si>
  <si>
    <t>SEF-RF-07</t>
  </si>
  <si>
    <t>HRAHU-RF-04</t>
  </si>
  <si>
    <t>Return air leaving SW temp &amp; RH</t>
  </si>
  <si>
    <t>Filter &amp; Treatment Unit</t>
  </si>
  <si>
    <t>CRP-BNSP2-LG-01</t>
  </si>
  <si>
    <t>Automatic screen filter</t>
  </si>
  <si>
    <t>Strainer status</t>
  </si>
  <si>
    <t>Filterlizer tank low level</t>
  </si>
  <si>
    <t>Fertilizer unit status</t>
  </si>
  <si>
    <t>Fertilizer unit fault alarm</t>
  </si>
  <si>
    <t>Unit fault alarm</t>
  </si>
  <si>
    <t>Sand Filter (3D)</t>
  </si>
  <si>
    <t>Swimming Pool Circulation Pump (2D+1S)</t>
  </si>
  <si>
    <t>FP-BNSP2-LG-01,02,03</t>
  </si>
  <si>
    <t>Pump running status</t>
  </si>
  <si>
    <t>Pump Auto status</t>
  </si>
  <si>
    <t>EF-GF-02 (OLID WASTE ROOM)</t>
  </si>
  <si>
    <t>AHU-GF-01</t>
  </si>
  <si>
    <t>Supply fan Auto status</t>
  </si>
  <si>
    <t>Supply fan VFD Feedback</t>
  </si>
  <si>
    <t>Supply fan VFD control</t>
  </si>
  <si>
    <t>Exhaust fan Auto status</t>
  </si>
  <si>
    <t>Exhaust fan proof of flow</t>
  </si>
  <si>
    <t>Total Recovery wheel auto status</t>
  </si>
  <si>
    <t>AHU-GF-01-DX</t>
  </si>
  <si>
    <t xml:space="preserve">CU start/stop status &amp; command </t>
  </si>
  <si>
    <t>Gate Barrier-2,3,4,5,6,7,8,9</t>
  </si>
  <si>
    <t>Sump Pump (1D+1S) - 03</t>
  </si>
  <si>
    <t>Sand Trap/Interceptor</t>
  </si>
  <si>
    <t>SI-BNSP2-LG-01</t>
  </si>
  <si>
    <t>Jet Fans</t>
  </si>
  <si>
    <t>Carbon Monoxide</t>
  </si>
  <si>
    <t>Nitrogen Dioxide</t>
  </si>
  <si>
    <t>Fan Auto Status</t>
  </si>
  <si>
    <t>Gate Barrier-1</t>
  </si>
  <si>
    <t>Swimming Pool System</t>
  </si>
  <si>
    <t>Filter Pump-1 Run Status</t>
  </si>
  <si>
    <t>Filter Pump-1 Trip Status</t>
  </si>
  <si>
    <t>Filter Pump-1 Auto Status</t>
  </si>
  <si>
    <t>Filter Pump-2 Run Status</t>
  </si>
  <si>
    <t>Filter Pump-2 Trip Status</t>
  </si>
  <si>
    <t>Filter Pump-2 Auto Status</t>
  </si>
  <si>
    <t>Filter Pump-3 Run Status</t>
  </si>
  <si>
    <t>Filter Pump-3 Trip Status</t>
  </si>
  <si>
    <t>Filter Pump-3 Auto Status</t>
  </si>
  <si>
    <t>Filter Pump-4 Run Status</t>
  </si>
  <si>
    <t>Filter Pump-4 Trip Status</t>
  </si>
  <si>
    <t>Filter Pump-4 Auto Status</t>
  </si>
  <si>
    <t>Booster Pump-1 Run Status</t>
  </si>
  <si>
    <t>Booster Pump-1 Trip Status</t>
  </si>
  <si>
    <t>Booster Pump-1 Auto Status</t>
  </si>
  <si>
    <t>Booster Pump-2 Run Status</t>
  </si>
  <si>
    <t>Booster Pump-2 Trip Status</t>
  </si>
  <si>
    <t>Booster Pump-2 Auto Status</t>
  </si>
  <si>
    <t>Auto Chemical Dosing Unit On Status</t>
  </si>
  <si>
    <t>Backwash Unit-1 On Status</t>
  </si>
  <si>
    <t>Backwash Unit-2 On Status</t>
  </si>
  <si>
    <t>Backwash Unit-3 On Status</t>
  </si>
  <si>
    <t>UV Sterilizer-1 On Status</t>
  </si>
  <si>
    <t>UV Sterilizer-2 On Status</t>
  </si>
  <si>
    <t>Dosing Unit-1 On Status</t>
  </si>
  <si>
    <t>Dosing Unit-2 On Status</t>
  </si>
  <si>
    <t>Swimming Pool Underwater Lights On Status</t>
  </si>
  <si>
    <t>Remarks</t>
  </si>
  <si>
    <t>NOVEC SYSTEM</t>
  </si>
  <si>
    <t>Healthy Status</t>
  </si>
  <si>
    <t>via BACNET/IP Integration</t>
  </si>
  <si>
    <t xml:space="preserve">Cable Pulling </t>
  </si>
  <si>
    <t>Cable Continuity test</t>
  </si>
  <si>
    <t>Cable Termination</t>
  </si>
  <si>
    <t>✔️</t>
  </si>
  <si>
    <t>Functionality Test</t>
  </si>
  <si>
    <t>DI</t>
  </si>
  <si>
    <t>DO</t>
  </si>
  <si>
    <t>AI</t>
  </si>
  <si>
    <t>AO</t>
  </si>
  <si>
    <t>SI</t>
  </si>
  <si>
    <t>Checklist</t>
  </si>
  <si>
    <t xml:space="preserve">
 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</si>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</sst>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9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Trebuchet MS"/>
      <family val="2"/>
    </font>
    <font>
      <b/>
      <sz val="9"/>
      <color indexed="10"/>
      <name val="Trebuchet MS"/>
      <family val="2"/>
    </font>
    <font>
      <b/>
      <sz val="9"/>
      <color theme="6" tint="-0.499984740745262"/>
      <name val="Trebuchet MS"/>
      <family val="2"/>
    </font>
    <font>
      <sz val="9"/>
      <name val="Trebuchet MS"/>
      <family val="2"/>
    </font>
    <font>
      <b/>
      <sz val="16"/>
      <color indexed="10"/>
      <name val="Trebuchet MS"/>
      <family val="2"/>
    </font>
    <font>
      <b/>
      <sz val="8"/>
      <color indexed="10"/>
      <name val="Trebuchet MS"/>
      <family val="2"/>
    </font>
    <font>
      <b/>
      <sz val="8"/>
      <color rgb="FF00B0F0"/>
      <name val="Trebuchet MS"/>
      <family val="2"/>
    </font>
    <font>
      <b/>
      <sz val="8"/>
      <color theme="6" tint="-0.499984740745262"/>
      <name val="Trebuchet MS"/>
      <family val="2"/>
    </font>
    <font>
      <b/>
      <sz val="8"/>
      <color theme="2" tint="-0.749992370372631"/>
      <name val="Trebuchet MS"/>
      <family val="2"/>
    </font>
    <font>
      <b/>
      <sz val="8"/>
      <color rgb="FFFF33CC"/>
      <name val="Trebuchet MS"/>
      <family val="2"/>
    </font>
    <font>
      <b/>
      <sz val="8"/>
      <color rgb="FF00B050"/>
      <name val="Trebuchet MS"/>
      <family val="2"/>
    </font>
    <font>
      <sz val="8"/>
      <name val="Trebuchet MS"/>
      <family val="2"/>
    </font>
    <font>
      <b/>
      <sz val="10"/>
      <color rgb="FF00B050"/>
      <name val="Trebuchet MS"/>
      <family val="2"/>
    </font>
    <font>
      <sz val="10"/>
      <name val="Trebuchet MS"/>
      <family val="2"/>
    </font>
    <font>
      <b/>
      <sz val="9"/>
      <name val="Calibri"/>
      <family val="2"/>
    </font>
    <font>
      <b/>
      <sz val="10"/>
      <color indexed="10"/>
      <name val="Trebuchet MS"/>
      <family val="2"/>
    </font>
    <font>
      <b/>
      <sz val="10"/>
      <color rgb="FF00B0F0"/>
      <name val="Trebuchet MS"/>
      <family val="2"/>
    </font>
    <font>
      <b/>
      <sz val="10"/>
      <color theme="6" tint="-0.499984740745262"/>
      <name val="Trebuchet MS"/>
      <family val="2"/>
    </font>
    <font>
      <b/>
      <sz val="10"/>
      <color theme="2" tint="-0.749992370372631"/>
      <name val="Trebuchet MS"/>
      <family val="2"/>
    </font>
    <font>
      <b/>
      <sz val="10"/>
      <color indexed="56"/>
      <name val="Trebuchet MS"/>
      <family val="2"/>
    </font>
    <font>
      <sz val="10"/>
      <color theme="1"/>
      <name val="Trebuchet MS"/>
      <family val="2"/>
    </font>
    <font>
      <sz val="10"/>
      <color rgb="FF00B0F0"/>
      <name val="Arial"/>
      <family val="2"/>
    </font>
    <font>
      <sz val="10"/>
      <color theme="6" tint="-0.499984740745262"/>
      <name val="Arial"/>
      <family val="2"/>
    </font>
    <font>
      <sz val="10"/>
      <color theme="2" tint="-0.749992370372631"/>
      <name val="Arial"/>
      <family val="2"/>
    </font>
    <font>
      <sz val="10"/>
      <color rgb="FFFF33CC"/>
      <name val="Arial"/>
      <family val="2"/>
    </font>
    <font>
      <b/>
      <sz val="10"/>
      <color rgb="FFFF33CC"/>
      <name val="Trebuchet MS"/>
      <family val="2"/>
    </font>
    <font>
      <sz val="10"/>
      <color rgb="FF00B050"/>
      <name val="Arial"/>
      <family val="2"/>
    </font>
    <font>
      <b/>
      <sz val="10"/>
      <color theme="1"/>
      <name val="Trebuchet MS"/>
      <family val="2"/>
    </font>
    <font>
      <b/>
      <sz val="10"/>
      <color indexed="14"/>
      <name val="Trebuchet MS"/>
      <family val="2"/>
    </font>
    <font>
      <b/>
      <sz val="10"/>
      <color indexed="51"/>
      <name val="Trebuchet MS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rgb="FFFF0000"/>
      <name val="Trebuchet MS"/>
      <family val="2"/>
    </font>
    <font>
      <b/>
      <sz val="8"/>
      <color theme="1"/>
      <name val="Trebuchet MS"/>
      <family val="2"/>
    </font>
    <font>
      <b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C7C30"/>
      </patternFill>
    </fill>
    <fill>
      <patternFill patternType="lightGray">
        <fgColor rgb="FFFF0000"/>
        <bgColor theme="0"/>
      </patternFill>
    </fill>
    <fill>
      <patternFill patternType="lightGray">
        <fgColor rgb="FFFF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3" fillId="0" borderId="0"/>
    <xf numFmtId="0" fontId="2" fillId="0" borderId="0"/>
    <xf numFmtId="0" fontId="1" fillId="0" borderId="0"/>
    <xf numFmtId="0" fontId="1" fillId="0" borderId="0"/>
  </cellStyleXfs>
  <cellXfs count="103">
    <xf numFmtId="0" fontId="0" fillId="0" borderId="0" xfId="0"/>
    <xf numFmtId="0" fontId="4" fillId="0" borderId="1" xfId="0" applyFont="1" applyBorder="1" applyAlignment="1">
      <alignment horizontal="center" vertical="center" textRotation="90"/>
    </xf>
    <xf numFmtId="0" fontId="4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0" borderId="0" xfId="0" applyFont="1" applyAlignment="1">
      <alignment vertical="center"/>
    </xf>
    <xf numFmtId="49" fontId="8" fillId="3" borderId="1" xfId="0" applyNumberFormat="1" applyFont="1" applyFill="1" applyBorder="1" applyAlignment="1">
      <alignment horizontal="left" vertical="center" wrapText="1"/>
    </xf>
    <xf numFmtId="0" fontId="9" fillId="0" borderId="1" xfId="0" applyFont="1" applyBorder="1" applyAlignment="1">
      <alignment textRotation="90"/>
    </xf>
    <xf numFmtId="0" fontId="10" fillId="0" borderId="1" xfId="0" applyFont="1" applyBorder="1" applyAlignment="1">
      <alignment textRotation="90"/>
    </xf>
    <xf numFmtId="0" fontId="11" fillId="0" borderId="1" xfId="0" applyFont="1" applyBorder="1" applyAlignment="1">
      <alignment textRotation="90"/>
    </xf>
    <xf numFmtId="0" fontId="12" fillId="0" borderId="1" xfId="0" applyFont="1" applyBorder="1" applyAlignment="1">
      <alignment textRotation="90"/>
    </xf>
    <xf numFmtId="0" fontId="13" fillId="0" borderId="1" xfId="0" applyFont="1" applyBorder="1" applyAlignment="1">
      <alignment textRotation="90"/>
    </xf>
    <xf numFmtId="0" fontId="15" fillId="0" borderId="0" xfId="0" applyFont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17" fillId="0" borderId="0" xfId="0" applyFont="1"/>
    <xf numFmtId="0" fontId="0" fillId="0" borderId="1" xfId="0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5" borderId="1" xfId="0" applyFont="1" applyFill="1" applyBorder="1" applyAlignment="1">
      <alignment horizontal="left" vertical="center" wrapText="1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8" fillId="0" borderId="1" xfId="0" applyFont="1" applyBorder="1" applyAlignment="1">
      <alignment horizontal="left" vertical="center" wrapText="1"/>
    </xf>
    <xf numFmtId="0" fontId="24" fillId="3" borderId="1" xfId="1" applyFont="1" applyFill="1" applyBorder="1" applyAlignment="1">
      <alignment horizontal="left" vertical="center" wrapText="1"/>
    </xf>
    <xf numFmtId="0" fontId="23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25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0" fontId="24" fillId="0" borderId="1" xfId="1" applyFont="1" applyBorder="1" applyAlignment="1">
      <alignment horizontal="left" vertical="center" wrapText="1"/>
    </xf>
    <xf numFmtId="0" fontId="19" fillId="3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 wrapText="1"/>
    </xf>
    <xf numFmtId="0" fontId="19" fillId="8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0" fillId="0" borderId="1" xfId="0" applyBorder="1"/>
    <xf numFmtId="0" fontId="26" fillId="0" borderId="1" xfId="0" applyFont="1" applyBorder="1"/>
    <xf numFmtId="0" fontId="17" fillId="3" borderId="1" xfId="0" applyFont="1" applyFill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2" applyFont="1" applyBorder="1" applyAlignment="1">
      <alignment horizontal="left" vertical="center" wrapText="1"/>
    </xf>
    <xf numFmtId="0" fontId="19" fillId="0" borderId="1" xfId="2" applyFont="1" applyBorder="1" applyAlignment="1">
      <alignment horizontal="center" vertical="center"/>
    </xf>
    <xf numFmtId="0" fontId="20" fillId="0" borderId="1" xfId="2" applyFont="1" applyBorder="1" applyAlignment="1">
      <alignment horizontal="center" vertical="center"/>
    </xf>
    <xf numFmtId="0" fontId="21" fillId="0" borderId="1" xfId="2" applyFont="1" applyBorder="1" applyAlignment="1">
      <alignment horizontal="center" vertical="center"/>
    </xf>
    <xf numFmtId="0" fontId="22" fillId="0" borderId="1" xfId="2" applyFont="1" applyBorder="1" applyAlignment="1">
      <alignment horizontal="center" vertical="center"/>
    </xf>
    <xf numFmtId="0" fontId="24" fillId="0" borderId="1" xfId="3" applyFont="1" applyBorder="1" applyAlignment="1">
      <alignment horizontal="left" vertical="center" wrapText="1"/>
    </xf>
    <xf numFmtId="0" fontId="17" fillId="0" borderId="1" xfId="0" applyFont="1" applyBorder="1" applyAlignment="1">
      <alignment vertical="center"/>
    </xf>
    <xf numFmtId="0" fontId="17" fillId="3" borderId="1" xfId="2" applyFont="1" applyFill="1" applyBorder="1" applyAlignment="1">
      <alignment horizontal="left" vertical="center" wrapText="1"/>
    </xf>
    <xf numFmtId="0" fontId="14" fillId="0" borderId="1" xfId="0" applyFont="1" applyBorder="1" applyAlignment="1">
      <alignment textRotation="90"/>
    </xf>
    <xf numFmtId="0" fontId="16" fillId="3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left" vertical="center" wrapText="1"/>
    </xf>
    <xf numFmtId="0" fontId="4" fillId="4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32" fillId="0" borderId="1" xfId="0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14" fontId="17" fillId="0" borderId="0" xfId="0" applyNumberFormat="1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textRotation="90"/>
    </xf>
    <xf numFmtId="0" fontId="4" fillId="2" borderId="1" xfId="0" applyFont="1" applyFill="1" applyBorder="1" applyAlignment="1">
      <alignment horizontal="center" vertical="center" wrapText="1"/>
    </xf>
    <xf numFmtId="0" fontId="24" fillId="3" borderId="1" xfId="4" applyFont="1" applyFill="1" applyBorder="1" applyAlignment="1">
      <alignment horizontal="left" vertical="center" wrapText="1"/>
    </xf>
    <xf numFmtId="0" fontId="24" fillId="0" borderId="1" xfId="4" applyFont="1" applyBorder="1" applyAlignment="1">
      <alignment horizontal="left" vertical="center" wrapText="1"/>
    </xf>
    <xf numFmtId="0" fontId="24" fillId="0" borderId="1" xfId="5" applyFont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25" fillId="3" borderId="1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0" fontId="36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center" textRotation="90"/>
    </xf>
    <xf numFmtId="0" fontId="4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textRotation="90"/>
    </xf>
    <xf numFmtId="0" fontId="10" fillId="0" borderId="1" xfId="0" applyFont="1" applyBorder="1" applyAlignment="1">
      <alignment horizontal="center" textRotation="90"/>
    </xf>
    <xf numFmtId="0" fontId="11" fillId="0" borderId="1" xfId="0" applyFont="1" applyBorder="1" applyAlignment="1">
      <alignment horizontal="center" textRotation="90"/>
    </xf>
    <xf numFmtId="0" fontId="13" fillId="0" borderId="1" xfId="0" applyFont="1" applyBorder="1" applyAlignment="1">
      <alignment horizontal="center" textRotation="90"/>
    </xf>
    <xf numFmtId="0" fontId="4" fillId="2" borderId="0" xfId="0" applyFont="1" applyFill="1" applyBorder="1" applyAlignment="1">
      <alignment horizontal="center" vertical="center" wrapText="1"/>
    </xf>
    <xf numFmtId="49" fontId="37" fillId="3" borderId="1" xfId="0" applyNumberFormat="1" applyFont="1" applyFill="1" applyBorder="1" applyAlignment="1">
      <alignment horizontal="center" vertical="center" wrapText="1"/>
    </xf>
    <xf numFmtId="49" fontId="37" fillId="9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8" fillId="8" borderId="0" xfId="0" applyFont="1" applyFill="1" applyAlignment="1">
      <alignment horizontal="center" vertical="center"/>
    </xf>
  </cellXfs>
  <cellStyles count="6">
    <cellStyle name="Normal" xfId="0" builtinId="0"/>
    <cellStyle name="Normal 14" xfId="1"/>
    <cellStyle name="Normal 14 2" xfId="3"/>
    <cellStyle name="Normal 14 2 2" xfId="5"/>
    <cellStyle name="Normal 14 3" xfId="4"/>
    <cellStyle name="Normal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10\shared%20documents\Documents%20and%20Settings\Sam%20Dabliz\Local%20Settings\Temporary%20Internet%20Files\OLKC\Documents%20and%20Settings\Sam%20Dabliz\Local%20Settings\Temp\Prices\TAC\TAC_pric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uct gorups with discount"/>
      <sheetName val="Gross pricelist"/>
      <sheetName val="Transfer pricelist"/>
      <sheetName val="GM Category"/>
      <sheetName val="Overview discount gross &amp; trans"/>
      <sheetName val="Calc transf. price from release"/>
      <sheetName val="External pricing with discount"/>
      <sheetName val="External pricing with GM"/>
      <sheetName val="TAC_prices"/>
      <sheetName val="sheet1"/>
      <sheetName val="장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A3" t="str">
            <v>Item No.</v>
          </cell>
        </row>
        <row r="5">
          <cell r="A5">
            <v>7771</v>
          </cell>
        </row>
        <row r="6">
          <cell r="A6">
            <v>7780</v>
          </cell>
        </row>
        <row r="7">
          <cell r="A7">
            <v>330792</v>
          </cell>
        </row>
        <row r="8">
          <cell r="A8">
            <v>857422</v>
          </cell>
        </row>
        <row r="9">
          <cell r="A9">
            <v>857447</v>
          </cell>
        </row>
        <row r="10">
          <cell r="A10">
            <v>872981</v>
          </cell>
        </row>
        <row r="11">
          <cell r="A11">
            <v>878111</v>
          </cell>
        </row>
        <row r="12">
          <cell r="A12">
            <v>878121</v>
          </cell>
        </row>
        <row r="13">
          <cell r="A13">
            <v>878131</v>
          </cell>
        </row>
        <row r="14">
          <cell r="A14">
            <v>878141</v>
          </cell>
        </row>
        <row r="15">
          <cell r="A15">
            <v>878151</v>
          </cell>
        </row>
        <row r="16">
          <cell r="A16">
            <v>878161</v>
          </cell>
        </row>
        <row r="17">
          <cell r="A17">
            <v>878171</v>
          </cell>
        </row>
        <row r="18">
          <cell r="A18">
            <v>878181</v>
          </cell>
        </row>
        <row r="19">
          <cell r="A19">
            <v>878191</v>
          </cell>
        </row>
        <row r="20">
          <cell r="A20">
            <v>878201</v>
          </cell>
        </row>
        <row r="21">
          <cell r="A21">
            <v>878211</v>
          </cell>
        </row>
        <row r="22">
          <cell r="A22">
            <v>878221</v>
          </cell>
        </row>
        <row r="23">
          <cell r="A23">
            <v>878231</v>
          </cell>
        </row>
        <row r="24">
          <cell r="A24">
            <v>878241</v>
          </cell>
        </row>
        <row r="25">
          <cell r="A25">
            <v>878251</v>
          </cell>
        </row>
        <row r="26">
          <cell r="A26">
            <v>878261</v>
          </cell>
        </row>
        <row r="27">
          <cell r="A27">
            <v>878271</v>
          </cell>
        </row>
        <row r="28">
          <cell r="A28">
            <v>878291</v>
          </cell>
        </row>
        <row r="29">
          <cell r="A29">
            <v>878301</v>
          </cell>
        </row>
        <row r="30">
          <cell r="A30">
            <v>878311</v>
          </cell>
        </row>
        <row r="31">
          <cell r="A31">
            <v>878321</v>
          </cell>
        </row>
        <row r="32">
          <cell r="A32">
            <v>878331</v>
          </cell>
        </row>
        <row r="33">
          <cell r="A33">
            <v>878341</v>
          </cell>
        </row>
        <row r="34">
          <cell r="A34">
            <v>878351</v>
          </cell>
        </row>
        <row r="35">
          <cell r="A35">
            <v>878361</v>
          </cell>
        </row>
        <row r="36">
          <cell r="A36">
            <v>878560</v>
          </cell>
        </row>
        <row r="37">
          <cell r="A37">
            <v>878570</v>
          </cell>
        </row>
        <row r="38">
          <cell r="A38">
            <v>878600</v>
          </cell>
        </row>
        <row r="39">
          <cell r="A39">
            <v>878610</v>
          </cell>
        </row>
        <row r="40">
          <cell r="A40">
            <v>878620</v>
          </cell>
        </row>
        <row r="41">
          <cell r="A41">
            <v>878630</v>
          </cell>
        </row>
        <row r="42">
          <cell r="A42">
            <v>878640</v>
          </cell>
        </row>
        <row r="43">
          <cell r="A43">
            <v>878650</v>
          </cell>
        </row>
        <row r="44">
          <cell r="A44">
            <v>878660</v>
          </cell>
        </row>
        <row r="45">
          <cell r="A45">
            <v>878670</v>
          </cell>
        </row>
        <row r="46">
          <cell r="A46">
            <v>878680</v>
          </cell>
        </row>
        <row r="47">
          <cell r="A47">
            <v>878690</v>
          </cell>
        </row>
        <row r="48">
          <cell r="A48">
            <v>878700</v>
          </cell>
        </row>
        <row r="49">
          <cell r="A49">
            <v>878710</v>
          </cell>
        </row>
        <row r="50">
          <cell r="A50">
            <v>878720</v>
          </cell>
        </row>
        <row r="51">
          <cell r="A51">
            <v>878730</v>
          </cell>
        </row>
        <row r="52">
          <cell r="A52">
            <v>878740</v>
          </cell>
        </row>
        <row r="53">
          <cell r="A53">
            <v>878750</v>
          </cell>
        </row>
        <row r="54">
          <cell r="A54">
            <v>878760</v>
          </cell>
        </row>
        <row r="55">
          <cell r="A55">
            <v>878840</v>
          </cell>
        </row>
        <row r="56">
          <cell r="A56">
            <v>878850</v>
          </cell>
        </row>
        <row r="57">
          <cell r="A57">
            <v>878900</v>
          </cell>
        </row>
        <row r="58">
          <cell r="A58">
            <v>878910</v>
          </cell>
        </row>
        <row r="59">
          <cell r="A59">
            <v>878920</v>
          </cell>
        </row>
        <row r="60">
          <cell r="A60">
            <v>879000</v>
          </cell>
        </row>
        <row r="61">
          <cell r="A61">
            <v>879010</v>
          </cell>
        </row>
        <row r="62">
          <cell r="A62">
            <v>879020</v>
          </cell>
        </row>
        <row r="63">
          <cell r="A63">
            <v>879030</v>
          </cell>
        </row>
        <row r="64">
          <cell r="A64">
            <v>879100</v>
          </cell>
        </row>
        <row r="65">
          <cell r="A65">
            <v>879110</v>
          </cell>
        </row>
        <row r="66">
          <cell r="A66">
            <v>879120</v>
          </cell>
        </row>
        <row r="67">
          <cell r="A67">
            <v>879200</v>
          </cell>
        </row>
        <row r="68">
          <cell r="A68">
            <v>879210</v>
          </cell>
        </row>
        <row r="69">
          <cell r="A69">
            <v>879220</v>
          </cell>
        </row>
        <row r="70">
          <cell r="A70">
            <v>879230</v>
          </cell>
        </row>
        <row r="71">
          <cell r="A71">
            <v>879240</v>
          </cell>
        </row>
        <row r="72">
          <cell r="A72">
            <v>879250</v>
          </cell>
        </row>
        <row r="73">
          <cell r="A73">
            <v>879260</v>
          </cell>
        </row>
        <row r="74">
          <cell r="A74">
            <v>879270</v>
          </cell>
        </row>
        <row r="75">
          <cell r="A75">
            <v>879280</v>
          </cell>
        </row>
        <row r="76">
          <cell r="A76">
            <v>879290</v>
          </cell>
        </row>
        <row r="77">
          <cell r="A77">
            <v>879300</v>
          </cell>
        </row>
        <row r="78">
          <cell r="A78">
            <v>879310</v>
          </cell>
        </row>
        <row r="79">
          <cell r="A79">
            <v>879320</v>
          </cell>
        </row>
        <row r="80">
          <cell r="A80">
            <v>879330</v>
          </cell>
        </row>
        <row r="81">
          <cell r="A81">
            <v>879340</v>
          </cell>
        </row>
        <row r="82">
          <cell r="A82">
            <v>879350</v>
          </cell>
        </row>
        <row r="83">
          <cell r="A83">
            <v>879360</v>
          </cell>
        </row>
        <row r="84">
          <cell r="A84">
            <v>879400</v>
          </cell>
        </row>
        <row r="85">
          <cell r="A85">
            <v>879410</v>
          </cell>
        </row>
        <row r="86">
          <cell r="A86">
            <v>879450</v>
          </cell>
        </row>
        <row r="87">
          <cell r="A87">
            <v>879460</v>
          </cell>
        </row>
        <row r="88">
          <cell r="A88">
            <v>879470</v>
          </cell>
        </row>
        <row r="89">
          <cell r="A89">
            <v>879480</v>
          </cell>
        </row>
        <row r="90">
          <cell r="A90">
            <v>879490</v>
          </cell>
        </row>
        <row r="91">
          <cell r="A91">
            <v>879500</v>
          </cell>
        </row>
        <row r="92">
          <cell r="A92">
            <v>879510</v>
          </cell>
        </row>
        <row r="93">
          <cell r="A93">
            <v>879650</v>
          </cell>
        </row>
        <row r="94">
          <cell r="A94">
            <v>879660</v>
          </cell>
        </row>
        <row r="95">
          <cell r="A95">
            <v>879670</v>
          </cell>
        </row>
        <row r="96">
          <cell r="A96">
            <v>879690</v>
          </cell>
        </row>
        <row r="97">
          <cell r="A97">
            <v>879700</v>
          </cell>
        </row>
        <row r="98">
          <cell r="A98">
            <v>879710</v>
          </cell>
        </row>
        <row r="99">
          <cell r="A99">
            <v>879750</v>
          </cell>
        </row>
        <row r="100">
          <cell r="A100">
            <v>879760</v>
          </cell>
        </row>
        <row r="101">
          <cell r="A101">
            <v>879770</v>
          </cell>
        </row>
        <row r="102">
          <cell r="A102">
            <v>879780</v>
          </cell>
        </row>
        <row r="103">
          <cell r="A103">
            <v>879790</v>
          </cell>
        </row>
        <row r="104">
          <cell r="A104">
            <v>879800</v>
          </cell>
        </row>
        <row r="105">
          <cell r="A105">
            <v>879810</v>
          </cell>
        </row>
        <row r="106">
          <cell r="A106">
            <v>879820</v>
          </cell>
        </row>
        <row r="107">
          <cell r="A107">
            <v>879830</v>
          </cell>
        </row>
        <row r="108">
          <cell r="A108">
            <v>879950</v>
          </cell>
        </row>
        <row r="109">
          <cell r="A109">
            <v>879960</v>
          </cell>
        </row>
        <row r="110">
          <cell r="A110">
            <v>879970</v>
          </cell>
        </row>
        <row r="111">
          <cell r="A111">
            <v>879980</v>
          </cell>
        </row>
        <row r="112">
          <cell r="A112">
            <v>879990</v>
          </cell>
        </row>
        <row r="113">
          <cell r="A113">
            <v>880000</v>
          </cell>
        </row>
        <row r="114">
          <cell r="A114">
            <v>880250</v>
          </cell>
        </row>
        <row r="115">
          <cell r="A115">
            <v>880260</v>
          </cell>
        </row>
        <row r="116">
          <cell r="A116">
            <v>880270</v>
          </cell>
        </row>
        <row r="117">
          <cell r="A117">
            <v>880280</v>
          </cell>
        </row>
        <row r="118">
          <cell r="A118">
            <v>880290</v>
          </cell>
        </row>
        <row r="119">
          <cell r="A119">
            <v>880340</v>
          </cell>
        </row>
        <row r="120">
          <cell r="A120">
            <v>880450</v>
          </cell>
        </row>
        <row r="121">
          <cell r="A121">
            <v>880460</v>
          </cell>
        </row>
        <row r="122">
          <cell r="A122">
            <v>880480</v>
          </cell>
        </row>
        <row r="123">
          <cell r="A123">
            <v>880490</v>
          </cell>
        </row>
        <row r="124">
          <cell r="A124">
            <v>880500</v>
          </cell>
        </row>
        <row r="125">
          <cell r="A125">
            <v>4600100</v>
          </cell>
        </row>
        <row r="126">
          <cell r="A126">
            <v>4600110</v>
          </cell>
        </row>
        <row r="127">
          <cell r="A127">
            <v>4600200</v>
          </cell>
        </row>
        <row r="128">
          <cell r="A128">
            <v>4600300</v>
          </cell>
        </row>
        <row r="129">
          <cell r="A129">
            <v>4600400</v>
          </cell>
        </row>
        <row r="130">
          <cell r="A130">
            <v>4600500</v>
          </cell>
        </row>
        <row r="131">
          <cell r="A131">
            <v>4600600</v>
          </cell>
        </row>
        <row r="132">
          <cell r="A132">
            <v>4600700</v>
          </cell>
        </row>
        <row r="133">
          <cell r="A133">
            <v>4600800</v>
          </cell>
        </row>
        <row r="134">
          <cell r="A134">
            <v>4602800</v>
          </cell>
        </row>
        <row r="135">
          <cell r="A135">
            <v>4603000</v>
          </cell>
        </row>
        <row r="136">
          <cell r="A136">
            <v>4603010</v>
          </cell>
        </row>
        <row r="137">
          <cell r="A137">
            <v>4603200</v>
          </cell>
        </row>
        <row r="138">
          <cell r="A138">
            <v>4603300</v>
          </cell>
        </row>
        <row r="139">
          <cell r="A139">
            <v>5029000</v>
          </cell>
        </row>
        <row r="140">
          <cell r="A140">
            <v>5301010</v>
          </cell>
        </row>
        <row r="141">
          <cell r="A141">
            <v>5301020</v>
          </cell>
        </row>
        <row r="142">
          <cell r="A142">
            <v>5301030</v>
          </cell>
        </row>
        <row r="143">
          <cell r="A143">
            <v>5301040</v>
          </cell>
        </row>
        <row r="144">
          <cell r="A144">
            <v>5301050</v>
          </cell>
        </row>
        <row r="145">
          <cell r="A145">
            <v>5301060</v>
          </cell>
        </row>
        <row r="146">
          <cell r="A146">
            <v>5301100</v>
          </cell>
        </row>
        <row r="147">
          <cell r="A147">
            <v>5390110</v>
          </cell>
        </row>
        <row r="148">
          <cell r="A148">
            <v>5401100</v>
          </cell>
        </row>
        <row r="149">
          <cell r="A149">
            <v>5402000</v>
          </cell>
        </row>
        <row r="150">
          <cell r="A150">
            <v>6500412</v>
          </cell>
        </row>
        <row r="151">
          <cell r="A151">
            <v>6501022</v>
          </cell>
        </row>
        <row r="152">
          <cell r="A152">
            <v>6501031</v>
          </cell>
        </row>
        <row r="153">
          <cell r="A153">
            <v>6501082</v>
          </cell>
        </row>
        <row r="154">
          <cell r="A154">
            <v>6501101</v>
          </cell>
        </row>
        <row r="155">
          <cell r="A155">
            <v>6501280</v>
          </cell>
        </row>
        <row r="156">
          <cell r="A156">
            <v>6501290</v>
          </cell>
        </row>
        <row r="157">
          <cell r="A157">
            <v>6501300</v>
          </cell>
        </row>
        <row r="158">
          <cell r="A158">
            <v>6501310</v>
          </cell>
        </row>
        <row r="159">
          <cell r="A159">
            <v>6501320</v>
          </cell>
        </row>
        <row r="160">
          <cell r="A160">
            <v>6501370</v>
          </cell>
        </row>
        <row r="161">
          <cell r="A161">
            <v>6501380</v>
          </cell>
        </row>
        <row r="162">
          <cell r="A162">
            <v>6590060</v>
          </cell>
        </row>
        <row r="163">
          <cell r="A163">
            <v>6590081</v>
          </cell>
        </row>
        <row r="164">
          <cell r="A164">
            <v>6590223</v>
          </cell>
        </row>
        <row r="165">
          <cell r="A165">
            <v>6591090</v>
          </cell>
        </row>
        <row r="166">
          <cell r="A166">
            <v>6591160</v>
          </cell>
        </row>
        <row r="167">
          <cell r="A167">
            <v>6591170</v>
          </cell>
        </row>
        <row r="168">
          <cell r="A168">
            <v>6591180</v>
          </cell>
        </row>
        <row r="169">
          <cell r="A169">
            <v>6591190</v>
          </cell>
        </row>
        <row r="170">
          <cell r="A170">
            <v>6591371</v>
          </cell>
        </row>
        <row r="171">
          <cell r="A171">
            <v>6591380</v>
          </cell>
        </row>
        <row r="172">
          <cell r="A172">
            <v>6900013</v>
          </cell>
        </row>
        <row r="173">
          <cell r="A173">
            <v>6900202</v>
          </cell>
        </row>
        <row r="174">
          <cell r="A174">
            <v>6900232</v>
          </cell>
        </row>
        <row r="175">
          <cell r="A175">
            <v>6900402</v>
          </cell>
        </row>
        <row r="176">
          <cell r="A176">
            <v>6900802</v>
          </cell>
        </row>
        <row r="177">
          <cell r="A177">
            <v>6901032</v>
          </cell>
        </row>
        <row r="178">
          <cell r="A178">
            <v>6901232</v>
          </cell>
        </row>
        <row r="179">
          <cell r="A179">
            <v>6901432</v>
          </cell>
        </row>
        <row r="180">
          <cell r="A180">
            <v>6901602</v>
          </cell>
        </row>
        <row r="181">
          <cell r="A181">
            <v>6901632</v>
          </cell>
        </row>
        <row r="182">
          <cell r="A182">
            <v>6901832</v>
          </cell>
        </row>
        <row r="183">
          <cell r="A183">
            <v>6902020</v>
          </cell>
        </row>
        <row r="184">
          <cell r="A184">
            <v>6902030</v>
          </cell>
        </row>
        <row r="185">
          <cell r="A185">
            <v>6902220</v>
          </cell>
        </row>
        <row r="186">
          <cell r="A186">
            <v>6902230</v>
          </cell>
        </row>
        <row r="187">
          <cell r="A187">
            <v>6903020</v>
          </cell>
        </row>
        <row r="188">
          <cell r="A188">
            <v>6905232</v>
          </cell>
        </row>
        <row r="189">
          <cell r="A189">
            <v>6905432</v>
          </cell>
        </row>
        <row r="190">
          <cell r="A190">
            <v>6905632</v>
          </cell>
        </row>
        <row r="191">
          <cell r="A191">
            <v>6905832</v>
          </cell>
        </row>
        <row r="192">
          <cell r="A192">
            <v>6906202</v>
          </cell>
        </row>
        <row r="193">
          <cell r="A193">
            <v>6911640</v>
          </cell>
        </row>
        <row r="194">
          <cell r="A194">
            <v>6911840</v>
          </cell>
        </row>
        <row r="195">
          <cell r="A195">
            <v>6915440</v>
          </cell>
        </row>
        <row r="196">
          <cell r="A196">
            <v>7300010</v>
          </cell>
        </row>
        <row r="197">
          <cell r="A197">
            <v>7300030</v>
          </cell>
        </row>
        <row r="198">
          <cell r="A198">
            <v>7300090</v>
          </cell>
        </row>
        <row r="199">
          <cell r="A199">
            <v>7300092</v>
          </cell>
        </row>
        <row r="200">
          <cell r="A200">
            <v>7300100</v>
          </cell>
        </row>
        <row r="201">
          <cell r="A201">
            <v>7300110</v>
          </cell>
        </row>
        <row r="202">
          <cell r="A202">
            <v>7300112</v>
          </cell>
        </row>
        <row r="203">
          <cell r="A203">
            <v>7300130</v>
          </cell>
        </row>
        <row r="204">
          <cell r="A204">
            <v>7300150</v>
          </cell>
        </row>
        <row r="205">
          <cell r="A205">
            <v>7300300</v>
          </cell>
        </row>
        <row r="206">
          <cell r="A206">
            <v>7300310</v>
          </cell>
        </row>
        <row r="207">
          <cell r="A207">
            <v>7300320</v>
          </cell>
        </row>
        <row r="208">
          <cell r="A208">
            <v>7300882</v>
          </cell>
        </row>
        <row r="209">
          <cell r="A209">
            <v>7300892</v>
          </cell>
        </row>
        <row r="210">
          <cell r="A210">
            <v>7300942</v>
          </cell>
        </row>
        <row r="211">
          <cell r="A211">
            <v>7300952</v>
          </cell>
        </row>
        <row r="212">
          <cell r="A212">
            <v>7301010</v>
          </cell>
        </row>
        <row r="213">
          <cell r="A213">
            <v>7301012</v>
          </cell>
        </row>
        <row r="214">
          <cell r="A214">
            <v>7302011</v>
          </cell>
        </row>
        <row r="215">
          <cell r="A215">
            <v>7302031</v>
          </cell>
        </row>
        <row r="216">
          <cell r="A216">
            <v>7302411</v>
          </cell>
        </row>
        <row r="217">
          <cell r="A217">
            <v>7302420</v>
          </cell>
        </row>
        <row r="218">
          <cell r="A218">
            <v>7302431</v>
          </cell>
        </row>
        <row r="219">
          <cell r="A219">
            <v>7302440</v>
          </cell>
        </row>
        <row r="220">
          <cell r="A220">
            <v>7302811</v>
          </cell>
        </row>
        <row r="221">
          <cell r="A221">
            <v>7302831</v>
          </cell>
        </row>
        <row r="222">
          <cell r="A222">
            <v>7302910</v>
          </cell>
        </row>
        <row r="223">
          <cell r="A223">
            <v>7303010</v>
          </cell>
        </row>
        <row r="224">
          <cell r="A224">
            <v>7303030</v>
          </cell>
        </row>
        <row r="225">
          <cell r="A225">
            <v>7305010</v>
          </cell>
        </row>
        <row r="226">
          <cell r="A226">
            <v>7305020</v>
          </cell>
        </row>
        <row r="227">
          <cell r="A227">
            <v>7305030</v>
          </cell>
        </row>
        <row r="228">
          <cell r="A228">
            <v>7305040</v>
          </cell>
        </row>
        <row r="229">
          <cell r="A229">
            <v>7305050</v>
          </cell>
        </row>
        <row r="230">
          <cell r="A230">
            <v>7305070</v>
          </cell>
        </row>
        <row r="231">
          <cell r="A231">
            <v>7305310</v>
          </cell>
        </row>
        <row r="232">
          <cell r="A232">
            <v>7305330</v>
          </cell>
        </row>
        <row r="233">
          <cell r="A233">
            <v>7305350</v>
          </cell>
        </row>
        <row r="234">
          <cell r="A234">
            <v>7305370</v>
          </cell>
        </row>
        <row r="235">
          <cell r="A235">
            <v>7305400</v>
          </cell>
        </row>
        <row r="236">
          <cell r="A236">
            <v>7305610</v>
          </cell>
        </row>
        <row r="237">
          <cell r="A237">
            <v>7305910</v>
          </cell>
        </row>
        <row r="238">
          <cell r="A238">
            <v>7306010</v>
          </cell>
        </row>
        <row r="239">
          <cell r="A239">
            <v>7306030</v>
          </cell>
        </row>
        <row r="240">
          <cell r="A240">
            <v>7308110</v>
          </cell>
        </row>
        <row r="241">
          <cell r="A241">
            <v>7308310</v>
          </cell>
        </row>
        <row r="242">
          <cell r="A242">
            <v>7309010</v>
          </cell>
        </row>
        <row r="243">
          <cell r="A243">
            <v>7309020</v>
          </cell>
        </row>
        <row r="244">
          <cell r="A244">
            <v>7309040</v>
          </cell>
        </row>
        <row r="245">
          <cell r="A245">
            <v>7309050</v>
          </cell>
        </row>
        <row r="246">
          <cell r="A246">
            <v>7309072</v>
          </cell>
        </row>
        <row r="247">
          <cell r="A247">
            <v>7309080</v>
          </cell>
        </row>
        <row r="248">
          <cell r="A248">
            <v>7309090</v>
          </cell>
        </row>
        <row r="249">
          <cell r="A249">
            <v>7309100</v>
          </cell>
        </row>
        <row r="250">
          <cell r="A250">
            <v>7309110</v>
          </cell>
        </row>
        <row r="251">
          <cell r="A251">
            <v>7309120</v>
          </cell>
        </row>
        <row r="252">
          <cell r="A252">
            <v>7309130</v>
          </cell>
        </row>
        <row r="253">
          <cell r="A253">
            <v>7309140</v>
          </cell>
        </row>
        <row r="254">
          <cell r="A254">
            <v>7309150</v>
          </cell>
        </row>
        <row r="255">
          <cell r="A255">
            <v>7309160</v>
          </cell>
        </row>
        <row r="256">
          <cell r="A256">
            <v>7309170</v>
          </cell>
        </row>
        <row r="257">
          <cell r="A257">
            <v>7309180</v>
          </cell>
        </row>
        <row r="258">
          <cell r="A258">
            <v>7309190</v>
          </cell>
        </row>
        <row r="259">
          <cell r="A259">
            <v>7309200</v>
          </cell>
        </row>
        <row r="260">
          <cell r="A260">
            <v>7309210</v>
          </cell>
        </row>
        <row r="261">
          <cell r="A261">
            <v>7309220</v>
          </cell>
        </row>
        <row r="262">
          <cell r="A262">
            <v>7309231</v>
          </cell>
        </row>
        <row r="263">
          <cell r="A263">
            <v>7390090</v>
          </cell>
        </row>
        <row r="264">
          <cell r="A264">
            <v>7390100</v>
          </cell>
        </row>
        <row r="265">
          <cell r="A265">
            <v>7390110</v>
          </cell>
        </row>
        <row r="266">
          <cell r="A266">
            <v>7390120</v>
          </cell>
        </row>
        <row r="267">
          <cell r="A267">
            <v>7700030</v>
          </cell>
        </row>
        <row r="268">
          <cell r="A268">
            <v>7709010</v>
          </cell>
        </row>
        <row r="269">
          <cell r="A269">
            <v>7709020</v>
          </cell>
        </row>
        <row r="270">
          <cell r="A270">
            <v>7709040</v>
          </cell>
        </row>
        <row r="271">
          <cell r="A271">
            <v>7709071</v>
          </cell>
        </row>
        <row r="272">
          <cell r="A272">
            <v>7709081</v>
          </cell>
        </row>
        <row r="273">
          <cell r="A273">
            <v>7709091</v>
          </cell>
        </row>
        <row r="274">
          <cell r="A274">
            <v>7709110</v>
          </cell>
        </row>
        <row r="275">
          <cell r="A275">
            <v>7709120</v>
          </cell>
        </row>
        <row r="276">
          <cell r="A276">
            <v>7709130</v>
          </cell>
        </row>
        <row r="277">
          <cell r="A277">
            <v>7709140</v>
          </cell>
        </row>
        <row r="278">
          <cell r="A278">
            <v>7709150</v>
          </cell>
        </row>
        <row r="279">
          <cell r="A279">
            <v>7709160</v>
          </cell>
        </row>
        <row r="280">
          <cell r="A280">
            <v>7710012</v>
          </cell>
        </row>
        <row r="281">
          <cell r="A281">
            <v>7710041</v>
          </cell>
        </row>
        <row r="282">
          <cell r="A282">
            <v>7710050</v>
          </cell>
        </row>
        <row r="283">
          <cell r="A283">
            <v>7710060</v>
          </cell>
        </row>
        <row r="284">
          <cell r="A284">
            <v>7710070</v>
          </cell>
        </row>
        <row r="285">
          <cell r="A285">
            <v>7720010</v>
          </cell>
        </row>
        <row r="286">
          <cell r="A286">
            <v>7720020</v>
          </cell>
        </row>
        <row r="287">
          <cell r="A287">
            <v>7720040</v>
          </cell>
        </row>
        <row r="288">
          <cell r="A288">
            <v>7730100</v>
          </cell>
        </row>
        <row r="289">
          <cell r="A289">
            <v>7731010</v>
          </cell>
        </row>
        <row r="290">
          <cell r="A290">
            <v>7731020</v>
          </cell>
        </row>
        <row r="291">
          <cell r="A291">
            <v>7731030</v>
          </cell>
        </row>
        <row r="292">
          <cell r="A292">
            <v>7731040</v>
          </cell>
        </row>
        <row r="293">
          <cell r="A293">
            <v>7731050</v>
          </cell>
        </row>
        <row r="294">
          <cell r="A294">
            <v>7731110</v>
          </cell>
        </row>
        <row r="295">
          <cell r="A295">
            <v>7733020</v>
          </cell>
        </row>
        <row r="296">
          <cell r="A296">
            <v>7733040</v>
          </cell>
        </row>
        <row r="297">
          <cell r="A297">
            <v>7733050</v>
          </cell>
        </row>
        <row r="298">
          <cell r="A298">
            <v>7733110</v>
          </cell>
        </row>
        <row r="299">
          <cell r="A299">
            <v>100103601</v>
          </cell>
        </row>
        <row r="300">
          <cell r="A300">
            <v>100103620</v>
          </cell>
        </row>
        <row r="301">
          <cell r="A301">
            <v>100103811</v>
          </cell>
        </row>
        <row r="302">
          <cell r="A302">
            <v>100103832</v>
          </cell>
        </row>
        <row r="303">
          <cell r="A303">
            <v>100103930</v>
          </cell>
        </row>
        <row r="304">
          <cell r="A304">
            <v>100103940</v>
          </cell>
        </row>
        <row r="305">
          <cell r="A305">
            <v>100103991</v>
          </cell>
        </row>
        <row r="306">
          <cell r="A306">
            <v>100104060</v>
          </cell>
        </row>
        <row r="307">
          <cell r="A307">
            <v>100104710</v>
          </cell>
        </row>
        <row r="308">
          <cell r="A308">
            <v>100104782</v>
          </cell>
        </row>
        <row r="309">
          <cell r="A309">
            <v>100104890</v>
          </cell>
        </row>
        <row r="310">
          <cell r="A310">
            <v>100104922</v>
          </cell>
        </row>
        <row r="311">
          <cell r="A311">
            <v>100105052</v>
          </cell>
        </row>
        <row r="312">
          <cell r="A312">
            <v>100105334</v>
          </cell>
        </row>
        <row r="313">
          <cell r="A313">
            <v>100106261</v>
          </cell>
        </row>
        <row r="314">
          <cell r="A314">
            <v>100106361</v>
          </cell>
        </row>
        <row r="315">
          <cell r="A315">
            <v>100106480</v>
          </cell>
        </row>
        <row r="316">
          <cell r="A316">
            <v>100106710</v>
          </cell>
        </row>
        <row r="317">
          <cell r="A317">
            <v>100108000</v>
          </cell>
        </row>
        <row r="318">
          <cell r="A318">
            <v>100165202</v>
          </cell>
        </row>
        <row r="319">
          <cell r="A319">
            <v>100190010</v>
          </cell>
        </row>
        <row r="320">
          <cell r="A320">
            <v>100190020</v>
          </cell>
        </row>
        <row r="321">
          <cell r="A321">
            <v>100190030</v>
          </cell>
        </row>
        <row r="322">
          <cell r="A322">
            <v>100190040</v>
          </cell>
        </row>
        <row r="323">
          <cell r="A323">
            <v>100190060</v>
          </cell>
        </row>
        <row r="324">
          <cell r="A324">
            <v>100190070</v>
          </cell>
        </row>
        <row r="325">
          <cell r="A325">
            <v>100190080</v>
          </cell>
        </row>
        <row r="326">
          <cell r="A326">
            <v>100190090</v>
          </cell>
        </row>
        <row r="327">
          <cell r="A327">
            <v>100190140</v>
          </cell>
        </row>
        <row r="328">
          <cell r="A328">
            <v>100190160</v>
          </cell>
        </row>
        <row r="329">
          <cell r="A329">
            <v>100190170</v>
          </cell>
        </row>
        <row r="330">
          <cell r="A330">
            <v>100190180</v>
          </cell>
        </row>
        <row r="331">
          <cell r="A331">
            <v>100190190</v>
          </cell>
        </row>
        <row r="332">
          <cell r="A332">
            <v>100190200</v>
          </cell>
        </row>
        <row r="333">
          <cell r="A333">
            <v>100190210</v>
          </cell>
        </row>
        <row r="334">
          <cell r="A334">
            <v>100190220</v>
          </cell>
        </row>
        <row r="335">
          <cell r="A335">
            <v>100190240</v>
          </cell>
        </row>
        <row r="336">
          <cell r="A336">
            <v>100200090</v>
          </cell>
        </row>
        <row r="337">
          <cell r="A337">
            <v>100200150</v>
          </cell>
        </row>
        <row r="338">
          <cell r="A338">
            <v>106990010</v>
          </cell>
        </row>
        <row r="339">
          <cell r="A339">
            <v>106990020</v>
          </cell>
        </row>
        <row r="340">
          <cell r="A340">
            <v>106990030</v>
          </cell>
        </row>
        <row r="341">
          <cell r="A341">
            <v>106990040</v>
          </cell>
        </row>
        <row r="342">
          <cell r="A342">
            <v>106990050</v>
          </cell>
        </row>
        <row r="343">
          <cell r="A343">
            <v>107302010</v>
          </cell>
        </row>
        <row r="344">
          <cell r="A344">
            <v>107302030</v>
          </cell>
        </row>
        <row r="345">
          <cell r="A345">
            <v>107302410</v>
          </cell>
        </row>
        <row r="346">
          <cell r="A346">
            <v>107302430</v>
          </cell>
        </row>
        <row r="347">
          <cell r="A347">
            <v>107302810</v>
          </cell>
        </row>
        <row r="348">
          <cell r="A348">
            <v>107302830</v>
          </cell>
        </row>
        <row r="349">
          <cell r="A349">
            <v>407300092</v>
          </cell>
        </row>
        <row r="350">
          <cell r="A350">
            <v>407300112</v>
          </cell>
        </row>
        <row r="351">
          <cell r="A351">
            <v>407301010</v>
          </cell>
        </row>
        <row r="352">
          <cell r="A352">
            <v>407301012</v>
          </cell>
        </row>
        <row r="353">
          <cell r="A353">
            <v>407309000</v>
          </cell>
        </row>
        <row r="354">
          <cell r="A354">
            <v>407309150</v>
          </cell>
        </row>
        <row r="355">
          <cell r="A355">
            <v>900800030</v>
          </cell>
        </row>
        <row r="356">
          <cell r="A356">
            <v>900800050</v>
          </cell>
        </row>
        <row r="357">
          <cell r="A357">
            <v>900800060</v>
          </cell>
        </row>
        <row r="358">
          <cell r="A358">
            <v>900800070</v>
          </cell>
        </row>
        <row r="359">
          <cell r="A359">
            <v>900800080</v>
          </cell>
        </row>
        <row r="360">
          <cell r="A360">
            <v>907300010</v>
          </cell>
        </row>
        <row r="361">
          <cell r="A361">
            <v>907300020</v>
          </cell>
        </row>
        <row r="362">
          <cell r="A362">
            <v>907300050</v>
          </cell>
        </row>
        <row r="363">
          <cell r="A363">
            <v>907300060</v>
          </cell>
        </row>
        <row r="364">
          <cell r="A364">
            <v>907300081</v>
          </cell>
        </row>
        <row r="365">
          <cell r="A365">
            <v>907300090</v>
          </cell>
        </row>
        <row r="366">
          <cell r="A366">
            <v>907300100</v>
          </cell>
        </row>
        <row r="367">
          <cell r="A367">
            <v>907300110</v>
          </cell>
        </row>
        <row r="368">
          <cell r="A368">
            <v>907300120</v>
          </cell>
        </row>
        <row r="369">
          <cell r="A369">
            <v>907300130</v>
          </cell>
        </row>
        <row r="370">
          <cell r="A370">
            <v>907300140</v>
          </cell>
        </row>
        <row r="371">
          <cell r="A371">
            <v>907300150</v>
          </cell>
        </row>
        <row r="372">
          <cell r="A372">
            <v>907300160</v>
          </cell>
        </row>
        <row r="373">
          <cell r="A373">
            <v>907300170</v>
          </cell>
        </row>
        <row r="374">
          <cell r="A374">
            <v>907300180</v>
          </cell>
        </row>
        <row r="375">
          <cell r="A375">
            <v>907300190</v>
          </cell>
        </row>
        <row r="376">
          <cell r="A376">
            <v>907300200</v>
          </cell>
        </row>
        <row r="377">
          <cell r="A377">
            <v>907300210</v>
          </cell>
        </row>
        <row r="378">
          <cell r="A378">
            <v>907300220</v>
          </cell>
        </row>
        <row r="379">
          <cell r="A379">
            <v>907300230</v>
          </cell>
        </row>
        <row r="380">
          <cell r="A380">
            <v>907300240</v>
          </cell>
        </row>
        <row r="381">
          <cell r="A381">
            <v>907300250</v>
          </cell>
        </row>
        <row r="382">
          <cell r="A382">
            <v>907300260</v>
          </cell>
        </row>
        <row r="383">
          <cell r="A383">
            <v>907300270</v>
          </cell>
        </row>
        <row r="384">
          <cell r="A384">
            <v>907300280</v>
          </cell>
        </row>
        <row r="385">
          <cell r="A385">
            <v>907300290</v>
          </cell>
        </row>
        <row r="386">
          <cell r="A386">
            <v>907300300</v>
          </cell>
        </row>
        <row r="387">
          <cell r="A387">
            <v>907300310</v>
          </cell>
        </row>
        <row r="388">
          <cell r="A388">
            <v>907300320</v>
          </cell>
        </row>
        <row r="389">
          <cell r="A389">
            <v>907300330</v>
          </cell>
        </row>
        <row r="390">
          <cell r="A390">
            <v>907300340</v>
          </cell>
        </row>
        <row r="391">
          <cell r="A391">
            <v>907300350</v>
          </cell>
        </row>
        <row r="392">
          <cell r="A392">
            <v>907300360</v>
          </cell>
        </row>
        <row r="393">
          <cell r="A393">
            <v>907300370</v>
          </cell>
        </row>
        <row r="394">
          <cell r="A394">
            <v>907300380</v>
          </cell>
        </row>
        <row r="395">
          <cell r="A395">
            <v>907300390</v>
          </cell>
        </row>
        <row r="396">
          <cell r="A396">
            <v>907300400</v>
          </cell>
        </row>
        <row r="397">
          <cell r="A397">
            <v>907300410</v>
          </cell>
        </row>
        <row r="398">
          <cell r="A398">
            <v>907300420</v>
          </cell>
        </row>
        <row r="399">
          <cell r="A399">
            <v>907300430</v>
          </cell>
        </row>
        <row r="400">
          <cell r="A400">
            <v>907300440</v>
          </cell>
        </row>
        <row r="401">
          <cell r="A401">
            <v>907300450</v>
          </cell>
        </row>
        <row r="402">
          <cell r="A402">
            <v>802064005</v>
          </cell>
        </row>
        <row r="403">
          <cell r="A403">
            <v>803510005</v>
          </cell>
        </row>
        <row r="404">
          <cell r="A404">
            <v>804165015</v>
          </cell>
        </row>
        <row r="405">
          <cell r="A405">
            <v>804166015</v>
          </cell>
        </row>
        <row r="406">
          <cell r="A406">
            <v>804167015</v>
          </cell>
        </row>
        <row r="407">
          <cell r="A407">
            <v>804202000</v>
          </cell>
        </row>
        <row r="408">
          <cell r="A408">
            <v>804205000</v>
          </cell>
        </row>
        <row r="409">
          <cell r="A409">
            <v>804225800</v>
          </cell>
        </row>
        <row r="410">
          <cell r="A410">
            <v>804264005</v>
          </cell>
        </row>
        <row r="411">
          <cell r="A411">
            <v>804325005</v>
          </cell>
        </row>
        <row r="412">
          <cell r="A412">
            <v>804327005</v>
          </cell>
        </row>
        <row r="413">
          <cell r="A413">
            <v>804343005</v>
          </cell>
        </row>
        <row r="414">
          <cell r="A414">
            <v>804362005</v>
          </cell>
        </row>
        <row r="415">
          <cell r="A415">
            <v>804375005</v>
          </cell>
        </row>
        <row r="416">
          <cell r="A416">
            <v>804376005</v>
          </cell>
        </row>
        <row r="417">
          <cell r="A417">
            <v>804377005</v>
          </cell>
        </row>
        <row r="418">
          <cell r="A418">
            <v>804395005</v>
          </cell>
        </row>
        <row r="419">
          <cell r="A419">
            <v>804396005</v>
          </cell>
        </row>
        <row r="420">
          <cell r="A420">
            <v>804397005</v>
          </cell>
        </row>
        <row r="421">
          <cell r="A421">
            <v>804398005</v>
          </cell>
        </row>
        <row r="422">
          <cell r="A422">
            <v>804399005</v>
          </cell>
        </row>
        <row r="423">
          <cell r="A423">
            <v>804400005</v>
          </cell>
        </row>
        <row r="424">
          <cell r="A424">
            <v>804401005</v>
          </cell>
        </row>
        <row r="425">
          <cell r="A425">
            <v>804402005</v>
          </cell>
        </row>
        <row r="426">
          <cell r="A426">
            <v>804403005</v>
          </cell>
        </row>
        <row r="427">
          <cell r="A427">
            <v>804404005</v>
          </cell>
        </row>
        <row r="428">
          <cell r="A428">
            <v>804405005</v>
          </cell>
        </row>
        <row r="429">
          <cell r="A429">
            <v>804420005</v>
          </cell>
        </row>
        <row r="430">
          <cell r="A430">
            <v>804421005</v>
          </cell>
        </row>
        <row r="431">
          <cell r="A431">
            <v>804422005</v>
          </cell>
        </row>
        <row r="432">
          <cell r="A432">
            <v>804447005</v>
          </cell>
        </row>
        <row r="433">
          <cell r="A433">
            <v>804448005</v>
          </cell>
        </row>
        <row r="434">
          <cell r="A434">
            <v>804459800</v>
          </cell>
        </row>
        <row r="435">
          <cell r="A435">
            <v>804538005</v>
          </cell>
        </row>
        <row r="436">
          <cell r="A436">
            <v>804627005</v>
          </cell>
        </row>
        <row r="437">
          <cell r="A437">
            <v>804629005</v>
          </cell>
        </row>
        <row r="438">
          <cell r="A438">
            <v>804665000</v>
          </cell>
        </row>
        <row r="439">
          <cell r="A439">
            <v>804724005</v>
          </cell>
        </row>
        <row r="440">
          <cell r="A440">
            <v>804878005</v>
          </cell>
        </row>
        <row r="441">
          <cell r="A441">
            <v>804883005</v>
          </cell>
        </row>
        <row r="442">
          <cell r="A442">
            <v>804925005</v>
          </cell>
        </row>
        <row r="443">
          <cell r="A443">
            <v>804937005</v>
          </cell>
        </row>
        <row r="444">
          <cell r="A444">
            <v>804938005</v>
          </cell>
        </row>
        <row r="445">
          <cell r="A445">
            <v>804939005</v>
          </cell>
        </row>
        <row r="446">
          <cell r="A446">
            <v>804940005</v>
          </cell>
        </row>
        <row r="447">
          <cell r="A447">
            <v>804979005</v>
          </cell>
        </row>
        <row r="448">
          <cell r="A448">
            <v>805098005</v>
          </cell>
        </row>
        <row r="449">
          <cell r="A449">
            <v>805099005</v>
          </cell>
        </row>
        <row r="450">
          <cell r="A450">
            <v>805100005</v>
          </cell>
        </row>
        <row r="451">
          <cell r="A451">
            <v>805101005</v>
          </cell>
        </row>
        <row r="452">
          <cell r="A452">
            <v>805102005</v>
          </cell>
        </row>
        <row r="453">
          <cell r="A453">
            <v>805103005</v>
          </cell>
        </row>
        <row r="454">
          <cell r="A454">
            <v>805104005</v>
          </cell>
        </row>
        <row r="455">
          <cell r="A455">
            <v>805367009</v>
          </cell>
        </row>
        <row r="456">
          <cell r="A456">
            <v>805372009</v>
          </cell>
        </row>
        <row r="457">
          <cell r="A457">
            <v>805464009</v>
          </cell>
        </row>
        <row r="458">
          <cell r="A458">
            <v>805546009</v>
          </cell>
        </row>
        <row r="459">
          <cell r="A459">
            <v>805583009</v>
          </cell>
        </row>
        <row r="460">
          <cell r="A460">
            <v>805589005</v>
          </cell>
        </row>
        <row r="461">
          <cell r="A461">
            <v>805665005</v>
          </cell>
        </row>
        <row r="462">
          <cell r="A462">
            <v>805666005</v>
          </cell>
        </row>
        <row r="463">
          <cell r="A463">
            <v>805667005</v>
          </cell>
        </row>
        <row r="464">
          <cell r="A464">
            <v>805668005</v>
          </cell>
        </row>
        <row r="465">
          <cell r="A465">
            <v>805669005</v>
          </cell>
        </row>
        <row r="466">
          <cell r="A466">
            <v>2001000000</v>
          </cell>
        </row>
        <row r="467">
          <cell r="A467">
            <v>2001001000</v>
          </cell>
        </row>
        <row r="468">
          <cell r="A468">
            <v>2001002000</v>
          </cell>
        </row>
        <row r="469">
          <cell r="A469">
            <v>2001003000</v>
          </cell>
        </row>
        <row r="470">
          <cell r="A470">
            <v>2001004000</v>
          </cell>
        </row>
        <row r="471">
          <cell r="A471">
            <v>2001005000</v>
          </cell>
        </row>
        <row r="472">
          <cell r="A472">
            <v>2001900000</v>
          </cell>
        </row>
        <row r="473">
          <cell r="A473">
            <v>2001901000</v>
          </cell>
        </row>
        <row r="474">
          <cell r="A474">
            <v>2001910000</v>
          </cell>
        </row>
        <row r="475">
          <cell r="A475">
            <v>2002051000</v>
          </cell>
        </row>
        <row r="476">
          <cell r="A476">
            <v>2002052000</v>
          </cell>
        </row>
        <row r="477">
          <cell r="A477">
            <v>2002053000</v>
          </cell>
        </row>
        <row r="478">
          <cell r="A478">
            <v>2002054000</v>
          </cell>
        </row>
        <row r="479">
          <cell r="A479">
            <v>2002103000</v>
          </cell>
        </row>
        <row r="480">
          <cell r="A480">
            <v>2002153000</v>
          </cell>
        </row>
        <row r="481">
          <cell r="A481">
            <v>2002201000</v>
          </cell>
        </row>
        <row r="482">
          <cell r="A482">
            <v>2002202000</v>
          </cell>
        </row>
        <row r="483">
          <cell r="A483">
            <v>2002203000</v>
          </cell>
        </row>
        <row r="484">
          <cell r="A484">
            <v>2002204000</v>
          </cell>
        </row>
        <row r="485">
          <cell r="A485">
            <v>2002301000</v>
          </cell>
        </row>
        <row r="486">
          <cell r="A486">
            <v>2002455000</v>
          </cell>
        </row>
        <row r="487">
          <cell r="A487">
            <v>2002991000</v>
          </cell>
        </row>
        <row r="488">
          <cell r="A488">
            <v>2002992000</v>
          </cell>
        </row>
        <row r="489">
          <cell r="A489">
            <v>2002993010</v>
          </cell>
        </row>
        <row r="490">
          <cell r="A490">
            <v>2003001000</v>
          </cell>
        </row>
        <row r="491">
          <cell r="A491">
            <v>2181020000</v>
          </cell>
        </row>
        <row r="492">
          <cell r="A492">
            <v>2181060800</v>
          </cell>
        </row>
        <row r="493">
          <cell r="A493">
            <v>2211030800</v>
          </cell>
        </row>
        <row r="494">
          <cell r="A494">
            <v>2211081800</v>
          </cell>
        </row>
        <row r="495">
          <cell r="A495">
            <v>2211090800</v>
          </cell>
        </row>
        <row r="496">
          <cell r="A496">
            <v>2212010800</v>
          </cell>
        </row>
        <row r="497">
          <cell r="A497">
            <v>2212020800</v>
          </cell>
        </row>
        <row r="498">
          <cell r="A498">
            <v>2241040000</v>
          </cell>
        </row>
        <row r="499">
          <cell r="A499">
            <v>2281050000</v>
          </cell>
        </row>
        <row r="500">
          <cell r="A500">
            <v>2281084000</v>
          </cell>
        </row>
        <row r="501">
          <cell r="A501">
            <v>2281090000</v>
          </cell>
        </row>
        <row r="502">
          <cell r="A502">
            <v>2301020409</v>
          </cell>
        </row>
        <row r="503">
          <cell r="A503">
            <v>2321010400</v>
          </cell>
        </row>
        <row r="504">
          <cell r="A504">
            <v>2391010800</v>
          </cell>
        </row>
        <row r="505">
          <cell r="A505">
            <v>2401020409</v>
          </cell>
        </row>
        <row r="506">
          <cell r="A506">
            <v>2401070409</v>
          </cell>
        </row>
        <row r="507">
          <cell r="A507">
            <v>2401100409</v>
          </cell>
        </row>
        <row r="508">
          <cell r="A508">
            <v>2401110409</v>
          </cell>
        </row>
        <row r="509">
          <cell r="A509">
            <v>2401120409</v>
          </cell>
        </row>
        <row r="510">
          <cell r="A510">
            <v>2401150409</v>
          </cell>
        </row>
        <row r="511">
          <cell r="A511">
            <v>2581010000</v>
          </cell>
        </row>
        <row r="512">
          <cell r="A512">
            <v>2681010000</v>
          </cell>
        </row>
        <row r="513">
          <cell r="A513">
            <v>2681020000</v>
          </cell>
        </row>
        <row r="514">
          <cell r="A514">
            <v>2681052000</v>
          </cell>
        </row>
        <row r="515">
          <cell r="A515">
            <v>2681061000</v>
          </cell>
        </row>
        <row r="516">
          <cell r="A516">
            <v>2909900020</v>
          </cell>
        </row>
        <row r="517">
          <cell r="A517">
            <v>3251020800</v>
          </cell>
        </row>
        <row r="518">
          <cell r="A518">
            <v>3251030800</v>
          </cell>
        </row>
        <row r="519">
          <cell r="A519">
            <v>3251040800</v>
          </cell>
        </row>
        <row r="520">
          <cell r="A520">
            <v>3251060800</v>
          </cell>
        </row>
        <row r="521">
          <cell r="A521">
            <v>3251070800</v>
          </cell>
        </row>
        <row r="522">
          <cell r="A522">
            <v>3251080400</v>
          </cell>
        </row>
        <row r="523">
          <cell r="A523">
            <v>3251140800</v>
          </cell>
        </row>
        <row r="524">
          <cell r="A524">
            <v>3251242800</v>
          </cell>
        </row>
        <row r="525">
          <cell r="A525">
            <v>3251250800</v>
          </cell>
        </row>
        <row r="526">
          <cell r="A526">
            <v>3251291800</v>
          </cell>
        </row>
        <row r="527">
          <cell r="A527">
            <v>3251370000</v>
          </cell>
        </row>
        <row r="528">
          <cell r="A528">
            <v>3251420800</v>
          </cell>
        </row>
        <row r="529">
          <cell r="A529">
            <v>3251450800</v>
          </cell>
        </row>
        <row r="530">
          <cell r="A530">
            <v>3251460800</v>
          </cell>
        </row>
        <row r="531">
          <cell r="A531">
            <v>3251490800</v>
          </cell>
        </row>
        <row r="532">
          <cell r="A532">
            <v>3251540800</v>
          </cell>
        </row>
        <row r="533">
          <cell r="A533">
            <v>3291010000</v>
          </cell>
        </row>
        <row r="534">
          <cell r="A534">
            <v>3291050800</v>
          </cell>
        </row>
        <row r="535">
          <cell r="A535">
            <v>3291100800</v>
          </cell>
        </row>
        <row r="536">
          <cell r="A536">
            <v>3321160800</v>
          </cell>
        </row>
        <row r="537">
          <cell r="A537">
            <v>3321170800</v>
          </cell>
        </row>
        <row r="538">
          <cell r="A538">
            <v>3411040000</v>
          </cell>
        </row>
        <row r="539">
          <cell r="A539">
            <v>3411060000</v>
          </cell>
        </row>
        <row r="540">
          <cell r="A540">
            <v>3411100000</v>
          </cell>
        </row>
        <row r="541">
          <cell r="A541">
            <v>3413032000</v>
          </cell>
        </row>
        <row r="542">
          <cell r="A542">
            <v>3413060000</v>
          </cell>
        </row>
        <row r="543">
          <cell r="A543">
            <v>3423025800</v>
          </cell>
        </row>
        <row r="544">
          <cell r="A544">
            <v>5110030000</v>
          </cell>
        </row>
        <row r="545">
          <cell r="A545">
            <v>5111120000</v>
          </cell>
        </row>
        <row r="546">
          <cell r="A546">
            <v>5111122000</v>
          </cell>
        </row>
        <row r="547">
          <cell r="A547">
            <v>5120310010</v>
          </cell>
        </row>
        <row r="548">
          <cell r="A548">
            <v>5120310015</v>
          </cell>
        </row>
        <row r="549">
          <cell r="A549">
            <v>5121440000</v>
          </cell>
        </row>
        <row r="550">
          <cell r="A550">
            <v>5121450000</v>
          </cell>
        </row>
        <row r="551">
          <cell r="A551">
            <v>5121500010</v>
          </cell>
        </row>
        <row r="552">
          <cell r="A552">
            <v>5121722000</v>
          </cell>
        </row>
        <row r="553">
          <cell r="A553">
            <v>5122720000</v>
          </cell>
        </row>
        <row r="554">
          <cell r="A554">
            <v>5122720010</v>
          </cell>
        </row>
        <row r="555">
          <cell r="A555">
            <v>5122770010</v>
          </cell>
        </row>
        <row r="556">
          <cell r="A556">
            <v>5122770020</v>
          </cell>
        </row>
        <row r="557">
          <cell r="A557">
            <v>5122770030</v>
          </cell>
        </row>
        <row r="558">
          <cell r="A558">
            <v>5122780000</v>
          </cell>
        </row>
        <row r="559">
          <cell r="A559">
            <v>5122781000</v>
          </cell>
        </row>
        <row r="560">
          <cell r="A560">
            <v>5129980000</v>
          </cell>
        </row>
        <row r="561">
          <cell r="A561">
            <v>5129981000</v>
          </cell>
        </row>
        <row r="562">
          <cell r="A562">
            <v>5131100000</v>
          </cell>
        </row>
        <row r="563">
          <cell r="A563">
            <v>5131102000</v>
          </cell>
        </row>
        <row r="564">
          <cell r="A564">
            <v>5131500000</v>
          </cell>
        </row>
        <row r="565">
          <cell r="A565">
            <v>5141100000</v>
          </cell>
        </row>
        <row r="566">
          <cell r="A566">
            <v>5141102000</v>
          </cell>
        </row>
        <row r="567">
          <cell r="A567">
            <v>5152120010</v>
          </cell>
        </row>
        <row r="568">
          <cell r="A568">
            <v>5152230010</v>
          </cell>
        </row>
        <row r="569">
          <cell r="A569">
            <v>5182020000</v>
          </cell>
        </row>
        <row r="570">
          <cell r="A570">
            <v>5182040000</v>
          </cell>
        </row>
        <row r="571">
          <cell r="A571">
            <v>5182080000</v>
          </cell>
        </row>
        <row r="572">
          <cell r="A572">
            <v>5184030000</v>
          </cell>
        </row>
        <row r="573">
          <cell r="A573">
            <v>5211010010</v>
          </cell>
        </row>
        <row r="574">
          <cell r="A574">
            <v>5515010063</v>
          </cell>
        </row>
        <row r="575">
          <cell r="A575">
            <v>5515010080</v>
          </cell>
        </row>
        <row r="576">
          <cell r="A576">
            <v>5515010100</v>
          </cell>
        </row>
        <row r="577">
          <cell r="A577">
            <v>5515010125</v>
          </cell>
        </row>
        <row r="578">
          <cell r="A578">
            <v>5515010150</v>
          </cell>
        </row>
        <row r="579">
          <cell r="A579">
            <v>5515010160</v>
          </cell>
        </row>
        <row r="580">
          <cell r="A580">
            <v>5515010175</v>
          </cell>
        </row>
        <row r="581">
          <cell r="A581">
            <v>5515010200</v>
          </cell>
        </row>
        <row r="582">
          <cell r="A582">
            <v>5515010250</v>
          </cell>
        </row>
        <row r="583">
          <cell r="A583">
            <v>5515010315</v>
          </cell>
        </row>
        <row r="584">
          <cell r="A584">
            <v>5515010400</v>
          </cell>
        </row>
        <row r="585">
          <cell r="A585">
            <v>5911240000</v>
          </cell>
        </row>
        <row r="586">
          <cell r="A586">
            <v>5911250000</v>
          </cell>
        </row>
        <row r="587">
          <cell r="A587">
            <v>5911260000</v>
          </cell>
        </row>
        <row r="588">
          <cell r="A588">
            <v>5911280000</v>
          </cell>
        </row>
        <row r="589">
          <cell r="A589">
            <v>5911290000</v>
          </cell>
        </row>
        <row r="590">
          <cell r="A590">
            <v>7210702000</v>
          </cell>
        </row>
        <row r="591">
          <cell r="A591">
            <v>7210706000</v>
          </cell>
        </row>
        <row r="592">
          <cell r="A592">
            <v>7210710000</v>
          </cell>
        </row>
        <row r="593">
          <cell r="A593">
            <v>7210714000</v>
          </cell>
        </row>
        <row r="594">
          <cell r="A594">
            <v>7210718000</v>
          </cell>
        </row>
        <row r="595">
          <cell r="A595">
            <v>7210722000</v>
          </cell>
        </row>
        <row r="596">
          <cell r="A596">
            <v>7210726000</v>
          </cell>
        </row>
        <row r="597">
          <cell r="A597">
            <v>7210730000</v>
          </cell>
        </row>
        <row r="598">
          <cell r="A598">
            <v>7211116000</v>
          </cell>
        </row>
        <row r="599">
          <cell r="A599">
            <v>7211120000</v>
          </cell>
        </row>
        <row r="600">
          <cell r="A600">
            <v>7211124000</v>
          </cell>
        </row>
        <row r="601">
          <cell r="A601">
            <v>7211128000</v>
          </cell>
        </row>
        <row r="602">
          <cell r="A602">
            <v>7211132000</v>
          </cell>
        </row>
        <row r="603">
          <cell r="A603">
            <v>7211136000</v>
          </cell>
        </row>
        <row r="604">
          <cell r="A604">
            <v>7211140000</v>
          </cell>
        </row>
        <row r="605">
          <cell r="A605">
            <v>7211144000</v>
          </cell>
        </row>
        <row r="606">
          <cell r="A606">
            <v>7211232000</v>
          </cell>
        </row>
        <row r="607">
          <cell r="A607">
            <v>7211236000</v>
          </cell>
        </row>
        <row r="608">
          <cell r="A608">
            <v>7211240000</v>
          </cell>
        </row>
        <row r="609">
          <cell r="A609">
            <v>7211244000</v>
          </cell>
        </row>
        <row r="610">
          <cell r="A610">
            <v>7211716000</v>
          </cell>
        </row>
        <row r="611">
          <cell r="A611">
            <v>7211720000</v>
          </cell>
        </row>
        <row r="612">
          <cell r="A612">
            <v>7211724000</v>
          </cell>
        </row>
        <row r="613">
          <cell r="A613">
            <v>7211728000</v>
          </cell>
        </row>
        <row r="614">
          <cell r="A614">
            <v>7211732000</v>
          </cell>
        </row>
        <row r="615">
          <cell r="A615">
            <v>7211736000</v>
          </cell>
        </row>
        <row r="616">
          <cell r="A616">
            <v>7211740000</v>
          </cell>
        </row>
        <row r="617">
          <cell r="A617">
            <v>7211744000</v>
          </cell>
        </row>
        <row r="618">
          <cell r="A618">
            <v>7211832000</v>
          </cell>
        </row>
        <row r="619">
          <cell r="A619">
            <v>7211836000</v>
          </cell>
        </row>
        <row r="620">
          <cell r="A620">
            <v>7211840000</v>
          </cell>
        </row>
        <row r="621">
          <cell r="A621">
            <v>7211844000</v>
          </cell>
        </row>
        <row r="622">
          <cell r="A622">
            <v>7212154000</v>
          </cell>
        </row>
        <row r="623">
          <cell r="A623">
            <v>7212158000</v>
          </cell>
        </row>
        <row r="624">
          <cell r="A624">
            <v>7212162000</v>
          </cell>
        </row>
        <row r="625">
          <cell r="A625">
            <v>7212166000</v>
          </cell>
        </row>
        <row r="626">
          <cell r="A626">
            <v>7212170000</v>
          </cell>
        </row>
        <row r="627">
          <cell r="A627">
            <v>7212354000</v>
          </cell>
        </row>
        <row r="628">
          <cell r="A628">
            <v>7212358000</v>
          </cell>
        </row>
        <row r="629">
          <cell r="A629">
            <v>7212362000</v>
          </cell>
        </row>
        <row r="630">
          <cell r="A630">
            <v>7212366000</v>
          </cell>
        </row>
        <row r="631">
          <cell r="A631">
            <v>7212370000</v>
          </cell>
        </row>
        <row r="632">
          <cell r="A632">
            <v>7213106000</v>
          </cell>
        </row>
        <row r="633">
          <cell r="A633">
            <v>7213110000</v>
          </cell>
        </row>
        <row r="634">
          <cell r="A634">
            <v>7213114000</v>
          </cell>
        </row>
        <row r="635">
          <cell r="A635">
            <v>7213118000</v>
          </cell>
        </row>
        <row r="636">
          <cell r="A636">
            <v>7213122000</v>
          </cell>
        </row>
        <row r="637">
          <cell r="A637">
            <v>7213126000</v>
          </cell>
        </row>
        <row r="638">
          <cell r="A638">
            <v>7213130000</v>
          </cell>
        </row>
        <row r="639">
          <cell r="A639">
            <v>7213134000</v>
          </cell>
        </row>
        <row r="640">
          <cell r="A640">
            <v>7213138000</v>
          </cell>
        </row>
        <row r="641">
          <cell r="A641">
            <v>7213142000</v>
          </cell>
        </row>
        <row r="642">
          <cell r="A642">
            <v>7213146000</v>
          </cell>
        </row>
        <row r="643">
          <cell r="A643">
            <v>7213150000</v>
          </cell>
        </row>
        <row r="644">
          <cell r="A644">
            <v>7213238000</v>
          </cell>
        </row>
        <row r="645">
          <cell r="A645">
            <v>7213242000</v>
          </cell>
        </row>
        <row r="646">
          <cell r="A646">
            <v>7213246000</v>
          </cell>
        </row>
        <row r="647">
          <cell r="A647">
            <v>7213250000</v>
          </cell>
        </row>
        <row r="648">
          <cell r="A648">
            <v>7214106000</v>
          </cell>
        </row>
        <row r="649">
          <cell r="A649">
            <v>7214110000</v>
          </cell>
        </row>
        <row r="650">
          <cell r="A650">
            <v>7214114000</v>
          </cell>
        </row>
        <row r="651">
          <cell r="A651">
            <v>7214118000</v>
          </cell>
        </row>
        <row r="652">
          <cell r="A652">
            <v>7214122000</v>
          </cell>
        </row>
        <row r="653">
          <cell r="A653">
            <v>7214126000</v>
          </cell>
        </row>
        <row r="654">
          <cell r="A654">
            <v>7214130000</v>
          </cell>
        </row>
        <row r="655">
          <cell r="A655">
            <v>7214134000</v>
          </cell>
        </row>
        <row r="656">
          <cell r="A656">
            <v>7214138000</v>
          </cell>
        </row>
        <row r="657">
          <cell r="A657">
            <v>7214142000</v>
          </cell>
        </row>
        <row r="658">
          <cell r="A658">
            <v>7214146000</v>
          </cell>
        </row>
        <row r="659">
          <cell r="A659">
            <v>7214150000</v>
          </cell>
        </row>
        <row r="660">
          <cell r="A660">
            <v>7216010000</v>
          </cell>
        </row>
        <row r="661">
          <cell r="A661">
            <v>7216014000</v>
          </cell>
        </row>
        <row r="662">
          <cell r="A662">
            <v>7216018000</v>
          </cell>
        </row>
        <row r="663">
          <cell r="A663">
            <v>7216022000</v>
          </cell>
        </row>
        <row r="664">
          <cell r="A664">
            <v>7216026000</v>
          </cell>
        </row>
        <row r="665">
          <cell r="A665">
            <v>7216030000</v>
          </cell>
        </row>
        <row r="666">
          <cell r="A666">
            <v>7216034000</v>
          </cell>
        </row>
        <row r="667">
          <cell r="A667">
            <v>7216038000</v>
          </cell>
        </row>
        <row r="668">
          <cell r="A668">
            <v>7216042000</v>
          </cell>
        </row>
        <row r="669">
          <cell r="A669">
            <v>7216046000</v>
          </cell>
        </row>
        <row r="670">
          <cell r="A670">
            <v>7219554000</v>
          </cell>
        </row>
        <row r="671">
          <cell r="A671">
            <v>7219558000</v>
          </cell>
        </row>
        <row r="672">
          <cell r="A672">
            <v>7219562000</v>
          </cell>
        </row>
        <row r="673">
          <cell r="A673">
            <v>7310706000</v>
          </cell>
        </row>
        <row r="674">
          <cell r="A674">
            <v>7310710000</v>
          </cell>
        </row>
        <row r="675">
          <cell r="A675">
            <v>7310714000</v>
          </cell>
        </row>
        <row r="676">
          <cell r="A676">
            <v>7310718000</v>
          </cell>
        </row>
        <row r="677">
          <cell r="A677">
            <v>7310722000</v>
          </cell>
        </row>
        <row r="678">
          <cell r="A678">
            <v>7310726000</v>
          </cell>
        </row>
        <row r="679">
          <cell r="A679">
            <v>7310727000</v>
          </cell>
        </row>
        <row r="680">
          <cell r="A680">
            <v>7310730000</v>
          </cell>
        </row>
        <row r="681">
          <cell r="A681">
            <v>7310731000</v>
          </cell>
        </row>
        <row r="682">
          <cell r="A682">
            <v>7311117000</v>
          </cell>
        </row>
        <row r="683">
          <cell r="A683">
            <v>7311121000</v>
          </cell>
        </row>
        <row r="684">
          <cell r="A684">
            <v>7311125000</v>
          </cell>
        </row>
        <row r="685">
          <cell r="A685">
            <v>7311129000</v>
          </cell>
        </row>
        <row r="686">
          <cell r="A686">
            <v>7311133000</v>
          </cell>
        </row>
        <row r="687">
          <cell r="A687">
            <v>7311137000</v>
          </cell>
        </row>
        <row r="688">
          <cell r="A688">
            <v>7311141000</v>
          </cell>
        </row>
        <row r="689">
          <cell r="A689">
            <v>7311145000</v>
          </cell>
        </row>
        <row r="690">
          <cell r="A690">
            <v>7311717000</v>
          </cell>
        </row>
        <row r="691">
          <cell r="A691">
            <v>7311721000</v>
          </cell>
        </row>
        <row r="692">
          <cell r="A692">
            <v>7311725000</v>
          </cell>
        </row>
        <row r="693">
          <cell r="A693">
            <v>7311729000</v>
          </cell>
        </row>
        <row r="694">
          <cell r="A694">
            <v>7311733000</v>
          </cell>
        </row>
        <row r="695">
          <cell r="A695">
            <v>7311737000</v>
          </cell>
        </row>
        <row r="696">
          <cell r="A696">
            <v>7311741000</v>
          </cell>
        </row>
        <row r="697">
          <cell r="A697">
            <v>7311745000</v>
          </cell>
        </row>
        <row r="698">
          <cell r="A698">
            <v>7314121000</v>
          </cell>
        </row>
        <row r="699">
          <cell r="A699">
            <v>7314125000</v>
          </cell>
        </row>
        <row r="700">
          <cell r="A700">
            <v>7314129000</v>
          </cell>
        </row>
        <row r="701">
          <cell r="A701">
            <v>7314133000</v>
          </cell>
        </row>
        <row r="702">
          <cell r="A702">
            <v>7314137000</v>
          </cell>
        </row>
        <row r="703">
          <cell r="A703">
            <v>7314141000</v>
          </cell>
        </row>
        <row r="704">
          <cell r="A704">
            <v>7314145000</v>
          </cell>
        </row>
        <row r="705">
          <cell r="A705">
            <v>7314149000</v>
          </cell>
        </row>
        <row r="706">
          <cell r="A706">
            <v>7317039000</v>
          </cell>
        </row>
        <row r="707">
          <cell r="A707">
            <v>7317041000</v>
          </cell>
        </row>
        <row r="708">
          <cell r="A708">
            <v>7317045000</v>
          </cell>
        </row>
        <row r="709">
          <cell r="A709">
            <v>7317049000</v>
          </cell>
        </row>
        <row r="710">
          <cell r="A710">
            <v>7317053000</v>
          </cell>
        </row>
        <row r="711">
          <cell r="A711">
            <v>7317057000</v>
          </cell>
        </row>
        <row r="712">
          <cell r="A712">
            <v>7317061000</v>
          </cell>
        </row>
        <row r="713">
          <cell r="A713">
            <v>7317065000</v>
          </cell>
        </row>
        <row r="714">
          <cell r="A714">
            <v>7317067000</v>
          </cell>
        </row>
        <row r="715">
          <cell r="A715">
            <v>7317069000</v>
          </cell>
        </row>
        <row r="716">
          <cell r="A716">
            <v>7317157000</v>
          </cell>
        </row>
        <row r="717">
          <cell r="A717">
            <v>7317161000</v>
          </cell>
        </row>
        <row r="718">
          <cell r="A718">
            <v>7317165000</v>
          </cell>
        </row>
        <row r="719">
          <cell r="A719">
            <v>7317167000</v>
          </cell>
        </row>
        <row r="720">
          <cell r="A720">
            <v>7317169000</v>
          </cell>
        </row>
        <row r="721">
          <cell r="A721">
            <v>7319501000</v>
          </cell>
        </row>
        <row r="722">
          <cell r="A722">
            <v>7319505000</v>
          </cell>
        </row>
        <row r="723">
          <cell r="A723">
            <v>7319509000</v>
          </cell>
        </row>
        <row r="724">
          <cell r="A724">
            <v>7319513000</v>
          </cell>
        </row>
        <row r="725">
          <cell r="A725">
            <v>7319515000</v>
          </cell>
        </row>
        <row r="726">
          <cell r="A726">
            <v>7319519000</v>
          </cell>
        </row>
        <row r="727">
          <cell r="A727">
            <v>7319601000</v>
          </cell>
        </row>
        <row r="728">
          <cell r="A728">
            <v>7319605000</v>
          </cell>
        </row>
        <row r="729">
          <cell r="A729">
            <v>7319609000</v>
          </cell>
        </row>
        <row r="730">
          <cell r="A730">
            <v>7319613000</v>
          </cell>
        </row>
        <row r="731">
          <cell r="A731">
            <v>7319615000</v>
          </cell>
        </row>
        <row r="732">
          <cell r="A732">
            <v>7319619000</v>
          </cell>
        </row>
        <row r="733">
          <cell r="A733">
            <v>7410706000</v>
          </cell>
        </row>
        <row r="734">
          <cell r="A734">
            <v>7410710000</v>
          </cell>
        </row>
        <row r="735">
          <cell r="A735">
            <v>7410714000</v>
          </cell>
        </row>
        <row r="736">
          <cell r="A736">
            <v>7410718000</v>
          </cell>
        </row>
        <row r="737">
          <cell r="A737">
            <v>7410722000</v>
          </cell>
        </row>
        <row r="738">
          <cell r="A738">
            <v>7410726000</v>
          </cell>
        </row>
        <row r="739">
          <cell r="A739">
            <v>7410730000</v>
          </cell>
        </row>
        <row r="740">
          <cell r="A740">
            <v>8454100000</v>
          </cell>
        </row>
        <row r="741">
          <cell r="A741">
            <v>8454101000</v>
          </cell>
        </row>
        <row r="742">
          <cell r="A742">
            <v>8454110010</v>
          </cell>
        </row>
        <row r="743">
          <cell r="A743">
            <v>8454111010</v>
          </cell>
        </row>
        <row r="744">
          <cell r="A744">
            <v>8454112000</v>
          </cell>
        </row>
        <row r="745">
          <cell r="A745">
            <v>8454113000</v>
          </cell>
        </row>
        <row r="746">
          <cell r="A746">
            <v>8455100000</v>
          </cell>
        </row>
        <row r="747">
          <cell r="A747">
            <v>8455101000</v>
          </cell>
        </row>
        <row r="748">
          <cell r="A748">
            <v>8455102000</v>
          </cell>
        </row>
        <row r="749">
          <cell r="A749">
            <v>8455111000</v>
          </cell>
        </row>
        <row r="750">
          <cell r="A750">
            <v>8455112000</v>
          </cell>
        </row>
        <row r="751">
          <cell r="A751">
            <v>8521320000</v>
          </cell>
        </row>
        <row r="752">
          <cell r="A752">
            <v>8522210000</v>
          </cell>
        </row>
        <row r="753">
          <cell r="A753">
            <v>8522221010</v>
          </cell>
        </row>
        <row r="754">
          <cell r="A754">
            <v>8522232000</v>
          </cell>
        </row>
        <row r="755">
          <cell r="A755">
            <v>8522320000</v>
          </cell>
        </row>
        <row r="756">
          <cell r="A756">
            <v>8522340000</v>
          </cell>
        </row>
        <row r="757">
          <cell r="A757">
            <v>8522532000</v>
          </cell>
        </row>
        <row r="758">
          <cell r="A758">
            <v>8600990000</v>
          </cell>
        </row>
        <row r="759">
          <cell r="A759">
            <v>8600991000</v>
          </cell>
        </row>
        <row r="760">
          <cell r="A760">
            <v>8601010000</v>
          </cell>
        </row>
        <row r="761">
          <cell r="A761">
            <v>8601020000</v>
          </cell>
        </row>
        <row r="762">
          <cell r="A762">
            <v>8601100000</v>
          </cell>
        </row>
        <row r="763">
          <cell r="A763">
            <v>8601110000</v>
          </cell>
        </row>
        <row r="764">
          <cell r="A764">
            <v>8651510000</v>
          </cell>
        </row>
        <row r="765">
          <cell r="A765">
            <v>8651514000</v>
          </cell>
        </row>
        <row r="766">
          <cell r="A766">
            <v>8651518000</v>
          </cell>
        </row>
        <row r="767">
          <cell r="A767">
            <v>8651520000</v>
          </cell>
        </row>
        <row r="768">
          <cell r="A768">
            <v>8651524000</v>
          </cell>
        </row>
        <row r="769">
          <cell r="A769">
            <v>8651528000</v>
          </cell>
        </row>
        <row r="770">
          <cell r="A770">
            <v>8653010000</v>
          </cell>
        </row>
        <row r="771">
          <cell r="A771">
            <v>8653014000</v>
          </cell>
        </row>
        <row r="772">
          <cell r="A772">
            <v>8653018000</v>
          </cell>
        </row>
        <row r="773">
          <cell r="A773">
            <v>8653020000</v>
          </cell>
        </row>
        <row r="774">
          <cell r="A774">
            <v>8653024000</v>
          </cell>
        </row>
        <row r="775">
          <cell r="A775">
            <v>8653028000</v>
          </cell>
        </row>
        <row r="776">
          <cell r="A776">
            <v>8700000000</v>
          </cell>
        </row>
        <row r="777">
          <cell r="A777">
            <v>8700001000</v>
          </cell>
        </row>
        <row r="778">
          <cell r="A778">
            <v>8700002000</v>
          </cell>
        </row>
        <row r="779">
          <cell r="A779">
            <v>8700010000</v>
          </cell>
        </row>
        <row r="780">
          <cell r="A780">
            <v>8700020000</v>
          </cell>
        </row>
        <row r="781">
          <cell r="A781">
            <v>8710000010</v>
          </cell>
        </row>
        <row r="782">
          <cell r="A782">
            <v>8710001000</v>
          </cell>
        </row>
        <row r="783">
          <cell r="A783">
            <v>8710002000</v>
          </cell>
        </row>
        <row r="784">
          <cell r="A784">
            <v>8710010000</v>
          </cell>
        </row>
        <row r="785">
          <cell r="A785">
            <v>8740000010</v>
          </cell>
        </row>
        <row r="786">
          <cell r="A786">
            <v>8740003000</v>
          </cell>
        </row>
        <row r="787">
          <cell r="A787">
            <v>8740010010</v>
          </cell>
        </row>
        <row r="788">
          <cell r="A788">
            <v>8750000010</v>
          </cell>
        </row>
        <row r="789">
          <cell r="A789">
            <v>8750003000</v>
          </cell>
        </row>
        <row r="790">
          <cell r="A790">
            <v>8750010010</v>
          </cell>
        </row>
        <row r="791">
          <cell r="A791">
            <v>8760000000</v>
          </cell>
        </row>
        <row r="792">
          <cell r="A792">
            <v>8760001000</v>
          </cell>
        </row>
        <row r="793">
          <cell r="A793">
            <v>8760010000</v>
          </cell>
        </row>
        <row r="794">
          <cell r="A794">
            <v>8760020000</v>
          </cell>
        </row>
        <row r="795">
          <cell r="A795">
            <v>8770000010</v>
          </cell>
        </row>
        <row r="796">
          <cell r="A796">
            <v>8770003000</v>
          </cell>
        </row>
        <row r="797">
          <cell r="A797">
            <v>8800104000</v>
          </cell>
        </row>
        <row r="798">
          <cell r="A798">
            <v>8800105010</v>
          </cell>
        </row>
        <row r="799">
          <cell r="A799">
            <v>8800107010</v>
          </cell>
        </row>
        <row r="800">
          <cell r="A800">
            <v>8800114000</v>
          </cell>
        </row>
        <row r="801">
          <cell r="A801">
            <v>8800115000</v>
          </cell>
        </row>
        <row r="802">
          <cell r="A802">
            <v>8800118000</v>
          </cell>
        </row>
        <row r="803">
          <cell r="A803">
            <v>8800121000</v>
          </cell>
        </row>
        <row r="804">
          <cell r="A804">
            <v>8800122000</v>
          </cell>
        </row>
        <row r="805">
          <cell r="A805">
            <v>8800125000</v>
          </cell>
        </row>
        <row r="806">
          <cell r="A806">
            <v>8800210020</v>
          </cell>
        </row>
        <row r="807">
          <cell r="A807">
            <v>8800211020</v>
          </cell>
        </row>
        <row r="808">
          <cell r="A808">
            <v>8800212030</v>
          </cell>
        </row>
        <row r="809">
          <cell r="A809">
            <v>8800213030</v>
          </cell>
        </row>
        <row r="810">
          <cell r="A810">
            <v>8800230020</v>
          </cell>
        </row>
        <row r="811">
          <cell r="A811">
            <v>8800231020</v>
          </cell>
        </row>
        <row r="812">
          <cell r="A812">
            <v>8800252000</v>
          </cell>
        </row>
        <row r="813">
          <cell r="A813">
            <v>8800253000</v>
          </cell>
        </row>
        <row r="814">
          <cell r="A814">
            <v>8800310020</v>
          </cell>
        </row>
        <row r="815">
          <cell r="A815">
            <v>8800311020</v>
          </cell>
        </row>
        <row r="816">
          <cell r="A816">
            <v>8800312030</v>
          </cell>
        </row>
        <row r="817">
          <cell r="A817">
            <v>8800313030</v>
          </cell>
        </row>
        <row r="818">
          <cell r="A818">
            <v>9112022000</v>
          </cell>
        </row>
        <row r="819">
          <cell r="A819">
            <v>9112024010</v>
          </cell>
        </row>
        <row r="820">
          <cell r="A820">
            <v>9112025010</v>
          </cell>
        </row>
        <row r="821">
          <cell r="A821">
            <v>9112026010</v>
          </cell>
        </row>
        <row r="822">
          <cell r="A822">
            <v>9112027000</v>
          </cell>
        </row>
        <row r="823">
          <cell r="A823">
            <v>9112034010</v>
          </cell>
        </row>
        <row r="824">
          <cell r="A824">
            <v>9112037000</v>
          </cell>
        </row>
        <row r="825">
          <cell r="A825">
            <v>9112070000</v>
          </cell>
        </row>
        <row r="826">
          <cell r="A826">
            <v>9112071000</v>
          </cell>
        </row>
        <row r="827">
          <cell r="A827">
            <v>9112076000</v>
          </cell>
        </row>
        <row r="828">
          <cell r="A828">
            <v>9112077000</v>
          </cell>
        </row>
        <row r="829">
          <cell r="A829">
            <v>9112078000</v>
          </cell>
        </row>
        <row r="830">
          <cell r="A830">
            <v>9112079000</v>
          </cell>
        </row>
        <row r="831">
          <cell r="A831">
            <v>9112100015</v>
          </cell>
        </row>
        <row r="832">
          <cell r="A832">
            <v>9112100020</v>
          </cell>
        </row>
        <row r="833">
          <cell r="A833">
            <v>9112100025</v>
          </cell>
        </row>
        <row r="834">
          <cell r="A834">
            <v>9112100032</v>
          </cell>
        </row>
        <row r="835">
          <cell r="A835">
            <v>9112100040</v>
          </cell>
        </row>
        <row r="836">
          <cell r="A836">
            <v>9112100050</v>
          </cell>
        </row>
        <row r="837">
          <cell r="A837">
            <v>9112101015</v>
          </cell>
        </row>
        <row r="838">
          <cell r="A838">
            <v>9112101020</v>
          </cell>
        </row>
        <row r="839">
          <cell r="A839">
            <v>9112101025</v>
          </cell>
        </row>
        <row r="840">
          <cell r="A840">
            <v>9112101032</v>
          </cell>
        </row>
        <row r="841">
          <cell r="A841">
            <v>9112101040</v>
          </cell>
        </row>
        <row r="842">
          <cell r="A842">
            <v>9112101050</v>
          </cell>
        </row>
        <row r="843">
          <cell r="A843">
            <v>9112102015</v>
          </cell>
        </row>
        <row r="844">
          <cell r="A844">
            <v>9112102020</v>
          </cell>
        </row>
        <row r="845">
          <cell r="A845">
            <v>9112102025</v>
          </cell>
        </row>
        <row r="846">
          <cell r="A846">
            <v>9112102032</v>
          </cell>
        </row>
        <row r="847">
          <cell r="A847">
            <v>9112102040</v>
          </cell>
        </row>
        <row r="848">
          <cell r="A848">
            <v>9112102050</v>
          </cell>
        </row>
        <row r="849">
          <cell r="A849">
            <v>9112103015</v>
          </cell>
        </row>
        <row r="850">
          <cell r="A850">
            <v>9112103020</v>
          </cell>
        </row>
        <row r="851">
          <cell r="A851">
            <v>9112103025</v>
          </cell>
        </row>
        <row r="852">
          <cell r="A852">
            <v>9112103032</v>
          </cell>
        </row>
        <row r="853">
          <cell r="A853">
            <v>9112103040</v>
          </cell>
        </row>
        <row r="854">
          <cell r="A854">
            <v>9112103050</v>
          </cell>
        </row>
        <row r="855">
          <cell r="A855">
            <v>9112104015</v>
          </cell>
        </row>
        <row r="856">
          <cell r="A856">
            <v>9112104020</v>
          </cell>
        </row>
        <row r="857">
          <cell r="A857">
            <v>9112104025</v>
          </cell>
        </row>
        <row r="858">
          <cell r="A858">
            <v>9112104032</v>
          </cell>
        </row>
        <row r="859">
          <cell r="A859">
            <v>9112104040</v>
          </cell>
        </row>
        <row r="860">
          <cell r="A860">
            <v>9112104050</v>
          </cell>
        </row>
        <row r="861">
          <cell r="A861">
            <v>9112105015</v>
          </cell>
        </row>
        <row r="862">
          <cell r="A862">
            <v>9112105020</v>
          </cell>
        </row>
        <row r="863">
          <cell r="A863">
            <v>9112105025</v>
          </cell>
        </row>
        <row r="864">
          <cell r="A864">
            <v>9112105032</v>
          </cell>
        </row>
        <row r="865">
          <cell r="A865">
            <v>9112105040</v>
          </cell>
        </row>
        <row r="866">
          <cell r="A866">
            <v>9112105050</v>
          </cell>
        </row>
        <row r="867">
          <cell r="A867">
            <v>9113010000</v>
          </cell>
        </row>
        <row r="868">
          <cell r="A868">
            <v>9113014000</v>
          </cell>
        </row>
        <row r="869">
          <cell r="A869">
            <v>9113018000</v>
          </cell>
        </row>
        <row r="870">
          <cell r="A870">
            <v>9113022000</v>
          </cell>
        </row>
        <row r="871">
          <cell r="A871">
            <v>9113026000</v>
          </cell>
        </row>
        <row r="872">
          <cell r="A872">
            <v>9121030000</v>
          </cell>
        </row>
        <row r="873">
          <cell r="A873">
            <v>9121120000</v>
          </cell>
        </row>
        <row r="874">
          <cell r="A874">
            <v>9121140000</v>
          </cell>
        </row>
        <row r="875">
          <cell r="A875">
            <v>9121180000</v>
          </cell>
        </row>
        <row r="876">
          <cell r="A876">
            <v>9121302030</v>
          </cell>
        </row>
        <row r="877">
          <cell r="A877">
            <v>9131001000</v>
          </cell>
        </row>
        <row r="878">
          <cell r="A878">
            <v>9141000000</v>
          </cell>
        </row>
        <row r="879">
          <cell r="A879">
            <v>9141010000</v>
          </cell>
        </row>
        <row r="880">
          <cell r="A880">
            <v>9141019000</v>
          </cell>
        </row>
        <row r="881">
          <cell r="A881">
            <v>9141021000</v>
          </cell>
        </row>
        <row r="882">
          <cell r="A882">
            <v>9141022000</v>
          </cell>
        </row>
        <row r="883">
          <cell r="A883">
            <v>9141023000</v>
          </cell>
        </row>
        <row r="884">
          <cell r="A884">
            <v>9141025000</v>
          </cell>
        </row>
        <row r="885">
          <cell r="A885">
            <v>9141030000</v>
          </cell>
        </row>
        <row r="886">
          <cell r="A886">
            <v>9141031000</v>
          </cell>
        </row>
        <row r="887">
          <cell r="A887">
            <v>9141032000</v>
          </cell>
        </row>
        <row r="888">
          <cell r="A888">
            <v>9141040000</v>
          </cell>
        </row>
        <row r="889">
          <cell r="A889">
            <v>9141045000</v>
          </cell>
        </row>
        <row r="890">
          <cell r="A890">
            <v>9141050000</v>
          </cell>
        </row>
        <row r="891">
          <cell r="A891">
            <v>9141051000</v>
          </cell>
        </row>
        <row r="892">
          <cell r="A892">
            <v>9651510000</v>
          </cell>
        </row>
        <row r="893">
          <cell r="A893">
            <v>9653010000</v>
          </cell>
        </row>
        <row r="894">
          <cell r="A894" t="str">
            <v>A-500-1-B-2</v>
          </cell>
        </row>
        <row r="895">
          <cell r="A895" t="str">
            <v>A-500-2-B-2</v>
          </cell>
        </row>
        <row r="896">
          <cell r="A896" t="str">
            <v>BRKBOX1</v>
          </cell>
        </row>
        <row r="897">
          <cell r="A897" t="str">
            <v>BRKBOX2</v>
          </cell>
        </row>
        <row r="898">
          <cell r="A898" t="str">
            <v>CBL004</v>
          </cell>
        </row>
        <row r="899">
          <cell r="A899" t="str">
            <v>CBL008</v>
          </cell>
        </row>
        <row r="900">
          <cell r="A900" t="str">
            <v>CBL009</v>
          </cell>
        </row>
        <row r="901">
          <cell r="A901" t="str">
            <v>CBL048</v>
          </cell>
        </row>
        <row r="902">
          <cell r="A902" t="str">
            <v>CBL063</v>
          </cell>
        </row>
        <row r="903">
          <cell r="A903" t="str">
            <v>CBL064</v>
          </cell>
        </row>
        <row r="904">
          <cell r="A904" t="str">
            <v>CBL065</v>
          </cell>
        </row>
        <row r="905">
          <cell r="A905" t="str">
            <v>CBL066</v>
          </cell>
        </row>
        <row r="906">
          <cell r="A906" t="str">
            <v>CBL070</v>
          </cell>
        </row>
        <row r="907">
          <cell r="A907" t="str">
            <v>CBL071</v>
          </cell>
        </row>
        <row r="908">
          <cell r="A908" t="str">
            <v>CBL072</v>
          </cell>
        </row>
        <row r="909">
          <cell r="A909" t="str">
            <v>CBL073</v>
          </cell>
        </row>
        <row r="910">
          <cell r="A910" t="str">
            <v>CBL074</v>
          </cell>
        </row>
        <row r="911">
          <cell r="A911" t="str">
            <v>CBL076</v>
          </cell>
        </row>
        <row r="912">
          <cell r="A912" t="str">
            <v>CBL081</v>
          </cell>
        </row>
        <row r="913">
          <cell r="A913" t="str">
            <v>CBL2CBL</v>
          </cell>
        </row>
        <row r="914">
          <cell r="A914" t="str">
            <v>CBT2000-2.0</v>
          </cell>
        </row>
        <row r="915">
          <cell r="A915" t="str">
            <v>CD-SWR</v>
          </cell>
        </row>
        <row r="916">
          <cell r="A916" t="str">
            <v>CLX-C</v>
          </cell>
        </row>
        <row r="917">
          <cell r="A917" t="str">
            <v>CT-800</v>
          </cell>
        </row>
        <row r="918">
          <cell r="A918" t="str">
            <v>CT-805</v>
          </cell>
        </row>
        <row r="919">
          <cell r="A919" t="str">
            <v>CT-810</v>
          </cell>
        </row>
        <row r="920">
          <cell r="A920" t="str">
            <v>CT-815</v>
          </cell>
        </row>
        <row r="921">
          <cell r="A921" t="str">
            <v>CT-820</v>
          </cell>
        </row>
        <row r="922">
          <cell r="A922" t="str">
            <v>CT-825</v>
          </cell>
        </row>
        <row r="923">
          <cell r="A923" t="str">
            <v>CU-850</v>
          </cell>
        </row>
        <row r="924">
          <cell r="A924" t="str">
            <v>CU-855</v>
          </cell>
        </row>
        <row r="925">
          <cell r="A925" t="str">
            <v>CU-860</v>
          </cell>
        </row>
        <row r="926">
          <cell r="A926" t="str">
            <v>CU-865</v>
          </cell>
        </row>
        <row r="927">
          <cell r="A927" t="str">
            <v>CU-870</v>
          </cell>
        </row>
        <row r="928">
          <cell r="A928" t="str">
            <v>CU-875</v>
          </cell>
        </row>
        <row r="929">
          <cell r="A929" t="str">
            <v>CU-880</v>
          </cell>
        </row>
        <row r="930">
          <cell r="A930" t="str">
            <v>CU-885</v>
          </cell>
        </row>
        <row r="931">
          <cell r="A931" t="str">
            <v>DIO7940</v>
          </cell>
        </row>
        <row r="932">
          <cell r="A932" t="str">
            <v>DIU7930-C</v>
          </cell>
        </row>
        <row r="933">
          <cell r="A933" t="str">
            <v>DPUBAT</v>
          </cell>
        </row>
        <row r="934">
          <cell r="A934" t="str">
            <v>DPUBATLEAD</v>
          </cell>
        </row>
        <row r="935">
          <cell r="A935" t="str">
            <v>DPU48K</v>
          </cell>
        </row>
        <row r="936">
          <cell r="A936" t="str">
            <v>DPU7910A-C</v>
          </cell>
        </row>
        <row r="937">
          <cell r="A937" t="str">
            <v>DPU7913A</v>
          </cell>
        </row>
        <row r="938">
          <cell r="A938" t="str">
            <v>DPU7920-C</v>
          </cell>
        </row>
        <row r="939">
          <cell r="A939" t="str">
            <v>ENCLPSU2A</v>
          </cell>
        </row>
        <row r="940">
          <cell r="A940" t="str">
            <v>ENCL1414</v>
          </cell>
        </row>
        <row r="941">
          <cell r="A941" t="str">
            <v>ENCL1712</v>
          </cell>
        </row>
        <row r="942">
          <cell r="A942" t="str">
            <v>ENCL1813</v>
          </cell>
        </row>
        <row r="943">
          <cell r="A943" t="str">
            <v>ENCL1813/BPLAT</v>
          </cell>
        </row>
        <row r="944">
          <cell r="A944" t="str">
            <v>ENCL1818</v>
          </cell>
        </row>
        <row r="945">
          <cell r="A945" t="str">
            <v>ENCL2216</v>
          </cell>
        </row>
        <row r="946">
          <cell r="A946" t="str">
            <v>ENCL2424</v>
          </cell>
        </row>
        <row r="947">
          <cell r="A947" t="str">
            <v>ENCL7910</v>
          </cell>
        </row>
        <row r="948">
          <cell r="A948" t="str">
            <v>ENCL7920</v>
          </cell>
        </row>
        <row r="949">
          <cell r="A949" t="str">
            <v>F9FUSE</v>
          </cell>
        </row>
        <row r="950">
          <cell r="A950" t="str">
            <v>HC7410-C</v>
          </cell>
        </row>
        <row r="951">
          <cell r="A951" t="str">
            <v>HID-1326</v>
          </cell>
        </row>
        <row r="952">
          <cell r="A952" t="str">
            <v>HID-1346</v>
          </cell>
        </row>
        <row r="953">
          <cell r="A953" t="str">
            <v>HID-1386</v>
          </cell>
        </row>
        <row r="954">
          <cell r="A954" t="str">
            <v>HID-5355AGK00</v>
          </cell>
        </row>
        <row r="955">
          <cell r="A955" t="str">
            <v>HID-5355AGN00</v>
          </cell>
        </row>
        <row r="956">
          <cell r="A956" t="str">
            <v>HID-6005B1B00</v>
          </cell>
        </row>
        <row r="957">
          <cell r="A957" t="str">
            <v>HUM3DU</v>
          </cell>
        </row>
        <row r="958">
          <cell r="A958" t="str">
            <v>HUM3OA</v>
          </cell>
        </row>
        <row r="959">
          <cell r="A959" t="str">
            <v>HUM3RM</v>
          </cell>
        </row>
        <row r="960">
          <cell r="A960" t="str">
            <v>HU-224-2-MA</v>
          </cell>
        </row>
        <row r="961">
          <cell r="A961" t="str">
            <v>HU-224-2-VDC</v>
          </cell>
        </row>
        <row r="962">
          <cell r="A962" t="str">
            <v>HU-224-3-MA</v>
          </cell>
        </row>
        <row r="963">
          <cell r="A963" t="str">
            <v>HU-224-3-VDC</v>
          </cell>
        </row>
        <row r="964">
          <cell r="A964" t="str">
            <v>HU-225-2-MA</v>
          </cell>
        </row>
        <row r="965">
          <cell r="A965" t="str">
            <v>HU-225-2-VDC</v>
          </cell>
        </row>
        <row r="966">
          <cell r="A966" t="str">
            <v>HU-225-3-MA</v>
          </cell>
        </row>
        <row r="967">
          <cell r="A967" t="str">
            <v>HU-225-3-VDC</v>
          </cell>
        </row>
        <row r="968">
          <cell r="A968" t="str">
            <v>IDISCFOB-50</v>
          </cell>
        </row>
        <row r="969">
          <cell r="A969" t="str">
            <v>IDISCRDR</v>
          </cell>
        </row>
        <row r="970">
          <cell r="A970" t="str">
            <v>IDISCRDRB</v>
          </cell>
        </row>
        <row r="971">
          <cell r="A971" t="str">
            <v>IDISCRDRMP</v>
          </cell>
        </row>
        <row r="972">
          <cell r="A972" t="str">
            <v>IDISCWAND</v>
          </cell>
        </row>
        <row r="973">
          <cell r="A973" t="str">
            <v>INETVB</v>
          </cell>
        </row>
        <row r="974">
          <cell r="A974" t="str">
            <v>IN-FPCRD</v>
          </cell>
        </row>
        <row r="975">
          <cell r="A975" t="str">
            <v>IN-FPC-0500A</v>
          </cell>
        </row>
        <row r="976">
          <cell r="A976" t="str">
            <v>IN-FPISO</v>
          </cell>
        </row>
        <row r="977">
          <cell r="A977" t="str">
            <v>IN-FPKEY</v>
          </cell>
        </row>
        <row r="978">
          <cell r="A978" t="str">
            <v>IN-FPZ1511A</v>
          </cell>
        </row>
        <row r="979">
          <cell r="A979" t="str">
            <v>IN-FPZ-1521A</v>
          </cell>
        </row>
        <row r="980">
          <cell r="A980" t="str">
            <v>IN-FP1511A</v>
          </cell>
        </row>
        <row r="981">
          <cell r="A981" t="str">
            <v>IN-FP1514A</v>
          </cell>
        </row>
        <row r="982">
          <cell r="A982" t="str">
            <v>IN-FP1524A</v>
          </cell>
        </row>
        <row r="983">
          <cell r="A983" t="str">
            <v>IN-FP4511A</v>
          </cell>
        </row>
        <row r="984">
          <cell r="A984" t="str">
            <v>IN-FP4515A</v>
          </cell>
        </row>
        <row r="985">
          <cell r="A985" t="str">
            <v>IN-FP4516A</v>
          </cell>
        </row>
        <row r="986">
          <cell r="A986" t="str">
            <v>IN-FP4517A</v>
          </cell>
        </row>
        <row r="987">
          <cell r="A987" t="str">
            <v>IN-FP4521A</v>
          </cell>
        </row>
        <row r="988">
          <cell r="A988" t="str">
            <v>IN-FP4525A</v>
          </cell>
        </row>
        <row r="989">
          <cell r="A989" t="str">
            <v>IN-FP4526A</v>
          </cell>
        </row>
        <row r="990">
          <cell r="A990" t="str">
            <v>IN-FP4527A</v>
          </cell>
        </row>
        <row r="991">
          <cell r="A991" t="str">
            <v>IN-FP5061B</v>
          </cell>
        </row>
        <row r="992">
          <cell r="A992" t="str">
            <v>IN-FP-1521A</v>
          </cell>
        </row>
        <row r="993">
          <cell r="A993" t="str">
            <v>ISTATA-C</v>
          </cell>
        </row>
        <row r="994">
          <cell r="A994" t="str">
            <v>I/NET2000</v>
          </cell>
        </row>
        <row r="995">
          <cell r="A995" t="str">
            <v>KITBAT</v>
          </cell>
        </row>
        <row r="996">
          <cell r="A996" t="str">
            <v>KITBAT1</v>
          </cell>
        </row>
        <row r="997">
          <cell r="A997" t="str">
            <v>KITBAT2</v>
          </cell>
        </row>
        <row r="998">
          <cell r="A998" t="str">
            <v>KITSW</v>
          </cell>
        </row>
        <row r="999">
          <cell r="A999" t="str">
            <v>LTS80D1</v>
          </cell>
        </row>
        <row r="1000">
          <cell r="A1000" t="str">
            <v>LTS80D2</v>
          </cell>
        </row>
        <row r="1001">
          <cell r="A1001" t="str">
            <v>LTS80I1</v>
          </cell>
        </row>
        <row r="1002">
          <cell r="A1002" t="str">
            <v>LTS80I2</v>
          </cell>
        </row>
        <row r="1003">
          <cell r="A1003" t="str">
            <v>LTS80OA</v>
          </cell>
        </row>
        <row r="1004">
          <cell r="A1004" t="str">
            <v>LTS80S</v>
          </cell>
        </row>
        <row r="1005">
          <cell r="A1005" t="str">
            <v>LTS80SS</v>
          </cell>
        </row>
        <row r="1006">
          <cell r="A1006" t="str">
            <v>LTS80W</v>
          </cell>
        </row>
        <row r="1007">
          <cell r="A1007" t="str">
            <v>LTS80W-UK</v>
          </cell>
        </row>
        <row r="1008">
          <cell r="A1008" t="str">
            <v>MRCOVERM</v>
          </cell>
        </row>
        <row r="1009">
          <cell r="A1009" t="str">
            <v>MR160-C</v>
          </cell>
        </row>
        <row r="1010">
          <cell r="A1010" t="str">
            <v>MR55-C</v>
          </cell>
        </row>
        <row r="1011">
          <cell r="A1011" t="str">
            <v>MR632-C</v>
          </cell>
        </row>
        <row r="1012">
          <cell r="A1012" t="str">
            <v>MR88R-C</v>
          </cell>
        </row>
        <row r="1013">
          <cell r="A1013" t="str">
            <v>MR88-C</v>
          </cell>
        </row>
        <row r="1014">
          <cell r="A1014" t="str">
            <v>MR-AHUM-C</v>
          </cell>
        </row>
        <row r="1015">
          <cell r="A1015" t="str">
            <v>MR-HPM-C</v>
          </cell>
        </row>
        <row r="1016">
          <cell r="A1016" t="str">
            <v>MR-VAV-AXM-C</v>
          </cell>
        </row>
        <row r="1017">
          <cell r="A1017" t="str">
            <v>MR-VAV-X1M-C</v>
          </cell>
        </row>
        <row r="1018">
          <cell r="A1018" t="str">
            <v>MR-VAV-X2M-C</v>
          </cell>
        </row>
        <row r="1019">
          <cell r="A1019" t="str">
            <v>MX-485-2</v>
          </cell>
        </row>
        <row r="1020">
          <cell r="A1020" t="str">
            <v>M3610-037</v>
          </cell>
        </row>
        <row r="1021">
          <cell r="A1021" t="str">
            <v>M3610-039</v>
          </cell>
        </row>
        <row r="1022">
          <cell r="A1022" t="str">
            <v>M9003-014</v>
          </cell>
        </row>
        <row r="1023">
          <cell r="A1023" t="str">
            <v>M9003-215</v>
          </cell>
        </row>
        <row r="1024">
          <cell r="A1024" t="str">
            <v>PR282-3-4-1-2B</v>
          </cell>
        </row>
        <row r="1025">
          <cell r="A1025" t="str">
            <v>PR-264-R4-MA</v>
          </cell>
        </row>
        <row r="1026">
          <cell r="A1026" t="str">
            <v>PR-264-R4-VDC</v>
          </cell>
        </row>
        <row r="1027">
          <cell r="A1027" t="str">
            <v>PR-264-R5-MA</v>
          </cell>
        </row>
        <row r="1028">
          <cell r="A1028" t="str">
            <v>PR-264-R5-VDC</v>
          </cell>
        </row>
        <row r="1029">
          <cell r="A1029" t="str">
            <v>PR-264-R6-MA</v>
          </cell>
        </row>
        <row r="1030">
          <cell r="A1030" t="str">
            <v>PR-264-R6-VDC</v>
          </cell>
        </row>
        <row r="1031">
          <cell r="A1031" t="str">
            <v>PR-274-R5-MA</v>
          </cell>
        </row>
        <row r="1032">
          <cell r="A1032" t="str">
            <v>PR-274-R5-VDC</v>
          </cell>
        </row>
        <row r="1033">
          <cell r="A1033" t="str">
            <v>PR-274-R6-MA</v>
          </cell>
        </row>
        <row r="1034">
          <cell r="A1034" t="str">
            <v>PR-274-R6-VDC</v>
          </cell>
        </row>
        <row r="1035">
          <cell r="A1035" t="str">
            <v>PR-274-R7-MA</v>
          </cell>
        </row>
        <row r="1036">
          <cell r="A1036" t="str">
            <v>PR-274-R7-VDC</v>
          </cell>
        </row>
        <row r="1037">
          <cell r="A1037" t="str">
            <v>PR-274-R8-MA</v>
          </cell>
        </row>
        <row r="1038">
          <cell r="A1038" t="str">
            <v>PR-274-R8-VDC</v>
          </cell>
        </row>
        <row r="1039">
          <cell r="A1039" t="str">
            <v>PR-276-R12-MA</v>
          </cell>
        </row>
        <row r="1040">
          <cell r="A1040" t="str">
            <v>PR-276-R12-VDC</v>
          </cell>
        </row>
        <row r="1041">
          <cell r="A1041" t="str">
            <v>PR-276-R13-MA</v>
          </cell>
        </row>
        <row r="1042">
          <cell r="A1042" t="str">
            <v>PR-276-R13-VDC</v>
          </cell>
        </row>
        <row r="1043">
          <cell r="A1043" t="str">
            <v>PR-282</v>
          </cell>
        </row>
        <row r="1044">
          <cell r="A1044" t="str">
            <v>PR-282-3-3-A</v>
          </cell>
        </row>
        <row r="1045">
          <cell r="A1045" t="str">
            <v>P16UISO-C</v>
          </cell>
        </row>
        <row r="1046">
          <cell r="A1046" t="str">
            <v>P8UI4AOC-C</v>
          </cell>
        </row>
        <row r="1047">
          <cell r="A1047" t="str">
            <v>P8UI4AOV-C</v>
          </cell>
        </row>
        <row r="1048">
          <cell r="A1048" t="str">
            <v>P8UI8DO-C</v>
          </cell>
        </row>
        <row r="1049">
          <cell r="A1049" t="str">
            <v>P8UI8DOSO-C</v>
          </cell>
        </row>
        <row r="1050">
          <cell r="A1050" t="str">
            <v>RC7760</v>
          </cell>
        </row>
        <row r="1051">
          <cell r="A1051" t="str">
            <v>RC7801</v>
          </cell>
        </row>
        <row r="1052">
          <cell r="A1052" t="str">
            <v>RC7910A</v>
          </cell>
        </row>
        <row r="1053">
          <cell r="A1053" t="str">
            <v>RC7920</v>
          </cell>
        </row>
        <row r="1054">
          <cell r="A1054" t="str">
            <v>RC7930</v>
          </cell>
        </row>
        <row r="1055">
          <cell r="A1055" t="str">
            <v>RC7940</v>
          </cell>
        </row>
        <row r="1056">
          <cell r="A1056" t="str">
            <v>RS232EXP-2P-C</v>
          </cell>
        </row>
        <row r="1057">
          <cell r="A1057" t="str">
            <v>RS232EXP-C</v>
          </cell>
        </row>
        <row r="1058">
          <cell r="A1058" t="str">
            <v>SEVEN 1.1U</v>
          </cell>
        </row>
        <row r="1059">
          <cell r="A1059" t="str">
            <v>SEVENADDHVAC</v>
          </cell>
        </row>
        <row r="1060">
          <cell r="A1060" t="str">
            <v>SEVENADDR</v>
          </cell>
        </row>
        <row r="1061">
          <cell r="A1061" t="str">
            <v>SEVENADDSEC</v>
          </cell>
        </row>
        <row r="1062">
          <cell r="A1062" t="str">
            <v>SEVENHVACNR</v>
          </cell>
        </row>
        <row r="1063">
          <cell r="A1063" t="str">
            <v>SEVENHVACNRU</v>
          </cell>
        </row>
        <row r="1064">
          <cell r="A1064" t="str">
            <v>SEVENHVACR</v>
          </cell>
        </row>
        <row r="1065">
          <cell r="A1065" t="str">
            <v>SEVENHVACRU</v>
          </cell>
        </row>
        <row r="1066">
          <cell r="A1066" t="str">
            <v>SEVENHVACSS</v>
          </cell>
        </row>
        <row r="1067">
          <cell r="A1067" t="str">
            <v>SEVENKITCE</v>
          </cell>
        </row>
        <row r="1068">
          <cell r="A1068" t="str">
            <v>SEVENMANUAL</v>
          </cell>
        </row>
        <row r="1069">
          <cell r="A1069" t="str">
            <v>SEVENMAXNR</v>
          </cell>
        </row>
        <row r="1070">
          <cell r="A1070" t="str">
            <v>SEVENMAXNRU</v>
          </cell>
        </row>
        <row r="1071">
          <cell r="A1071" t="str">
            <v>SEVENMAXR</v>
          </cell>
        </row>
        <row r="1072">
          <cell r="A1072" t="str">
            <v>SEVENMAXRU</v>
          </cell>
        </row>
        <row r="1073">
          <cell r="A1073" t="str">
            <v>SEVENMAXSS</v>
          </cell>
        </row>
        <row r="1074">
          <cell r="A1074" t="str">
            <v>SEVENMSTNR</v>
          </cell>
        </row>
        <row r="1075">
          <cell r="A1075" t="str">
            <v>SEVENMSTNRU</v>
          </cell>
        </row>
        <row r="1076">
          <cell r="A1076" t="str">
            <v>SEVENMSTR</v>
          </cell>
        </row>
        <row r="1077">
          <cell r="A1077" t="str">
            <v>SEVENMSTRU</v>
          </cell>
        </row>
        <row r="1078">
          <cell r="A1078" t="str">
            <v>SEVENMSTSS</v>
          </cell>
        </row>
        <row r="1079">
          <cell r="A1079" t="str">
            <v>SEVENSEATNRU</v>
          </cell>
        </row>
        <row r="1080">
          <cell r="A1080" t="str">
            <v>SEVENSEATR</v>
          </cell>
        </row>
        <row r="1081">
          <cell r="A1081" t="str">
            <v>SEVENSEATRU</v>
          </cell>
        </row>
        <row r="1082">
          <cell r="A1082" t="str">
            <v>SEVENSEATSS</v>
          </cell>
        </row>
        <row r="1083">
          <cell r="A1083" t="str">
            <v>SEVENSECNR</v>
          </cell>
        </row>
        <row r="1084">
          <cell r="A1084" t="str">
            <v>SEVENSECR</v>
          </cell>
        </row>
        <row r="1085">
          <cell r="A1085" t="str">
            <v>SEVENSECRU</v>
          </cell>
        </row>
        <row r="1086">
          <cell r="A1086" t="str">
            <v>SEVENSECSS</v>
          </cell>
        </row>
        <row r="1087">
          <cell r="A1087" t="str">
            <v>SLIDESTATNL-C</v>
          </cell>
        </row>
        <row r="1088">
          <cell r="A1088" t="str">
            <v>SLIDESTAT-C</v>
          </cell>
        </row>
        <row r="1089">
          <cell r="A1089" t="str">
            <v>TCON157</v>
          </cell>
        </row>
        <row r="1090">
          <cell r="A1090" t="str">
            <v>TE-205BP12-B-2</v>
          </cell>
        </row>
        <row r="1091">
          <cell r="A1091" t="str">
            <v>TE-205BP12-D-2</v>
          </cell>
        </row>
        <row r="1092">
          <cell r="A1092" t="str">
            <v>TE-205BP9X-B-2</v>
          </cell>
        </row>
        <row r="1093">
          <cell r="A1093" t="str">
            <v>TE-205BP9X-D2</v>
          </cell>
        </row>
        <row r="1094">
          <cell r="A1094" t="str">
            <v>TE-205BP9X-D-2</v>
          </cell>
        </row>
        <row r="1095">
          <cell r="A1095" t="str">
            <v>TE-205BP9-B-2</v>
          </cell>
        </row>
        <row r="1096">
          <cell r="A1096" t="str">
            <v>TE-205BP9-D-2</v>
          </cell>
        </row>
        <row r="1097">
          <cell r="A1097" t="str">
            <v>TE-205CP12-A2A</v>
          </cell>
        </row>
        <row r="1098">
          <cell r="A1098" t="str">
            <v>TE-205CP12-B2A</v>
          </cell>
        </row>
        <row r="1099">
          <cell r="A1099" t="str">
            <v>TE-205CP9X-A-2</v>
          </cell>
        </row>
        <row r="1100">
          <cell r="A1100" t="str">
            <v>TE-205CP9X-B-2</v>
          </cell>
        </row>
        <row r="1101">
          <cell r="A1101" t="str">
            <v>TE-205CP9-A-2A</v>
          </cell>
        </row>
        <row r="1102">
          <cell r="A1102" t="str">
            <v>TE-205CP9-B-2A</v>
          </cell>
        </row>
        <row r="1103">
          <cell r="A1103" t="str">
            <v>TE-205EP12E2WO</v>
          </cell>
        </row>
        <row r="1104">
          <cell r="A1104" t="str">
            <v>TE-205EP12-E2W</v>
          </cell>
        </row>
        <row r="1105">
          <cell r="A1105" t="str">
            <v>TE-205EP12-E-2</v>
          </cell>
        </row>
        <row r="1106">
          <cell r="A1106" t="str">
            <v>TE-205EP9-E2WO</v>
          </cell>
        </row>
        <row r="1107">
          <cell r="A1107" t="str">
            <v>TE-205EP9-E-2</v>
          </cell>
        </row>
        <row r="1108">
          <cell r="A1108" t="str">
            <v>TE-205FP-12</v>
          </cell>
        </row>
        <row r="1109">
          <cell r="A1109" t="str">
            <v>TE-205FP-9</v>
          </cell>
        </row>
        <row r="1110">
          <cell r="A1110" t="str">
            <v>TE-205FP-9X</v>
          </cell>
        </row>
        <row r="1111">
          <cell r="A1111" t="str">
            <v>TE-205M-12</v>
          </cell>
        </row>
        <row r="1112">
          <cell r="A1112" t="str">
            <v>TE-213CA2A2-C6</v>
          </cell>
        </row>
        <row r="1113">
          <cell r="A1113" t="str">
            <v>TTS100D1</v>
          </cell>
        </row>
        <row r="1114">
          <cell r="A1114" t="str">
            <v>TTS100D2</v>
          </cell>
        </row>
        <row r="1115">
          <cell r="A1115" t="str">
            <v>TTS100I1</v>
          </cell>
        </row>
        <row r="1116">
          <cell r="A1116" t="str">
            <v>TTS100I2</v>
          </cell>
        </row>
        <row r="1117">
          <cell r="A1117" t="str">
            <v>TTS100OA</v>
          </cell>
        </row>
        <row r="1118">
          <cell r="A1118" t="str">
            <v>TTS100SS</v>
          </cell>
        </row>
        <row r="1119">
          <cell r="A1119" t="str">
            <v>TTS100S1</v>
          </cell>
        </row>
        <row r="1120">
          <cell r="A1120" t="str">
            <v>TTS100S2</v>
          </cell>
        </row>
        <row r="1121">
          <cell r="A1121" t="str">
            <v>TTS100WJ</v>
          </cell>
        </row>
        <row r="1122">
          <cell r="A1122" t="str">
            <v>TTS100WJ-UK</v>
          </cell>
        </row>
        <row r="1123">
          <cell r="A1123" t="str">
            <v>TTS100WNL</v>
          </cell>
        </row>
        <row r="1124">
          <cell r="A1124" t="str">
            <v>XFMR11</v>
          </cell>
        </row>
        <row r="1125">
          <cell r="A1125" t="str">
            <v>XFMR7</v>
          </cell>
        </row>
        <row r="1126">
          <cell r="A1126" t="str">
            <v>1KRES</v>
          </cell>
        </row>
        <row r="1127">
          <cell r="A1127" t="str">
            <v>100KRES</v>
          </cell>
        </row>
        <row r="1128">
          <cell r="A1128" t="str">
            <v>10KRES</v>
          </cell>
        </row>
        <row r="1129">
          <cell r="A1129" t="str">
            <v>20010-C</v>
          </cell>
        </row>
        <row r="1130">
          <cell r="A1130" t="str">
            <v>20020-C</v>
          </cell>
        </row>
        <row r="1131">
          <cell r="A1131" t="str">
            <v>20110-C</v>
          </cell>
        </row>
        <row r="1132">
          <cell r="A1132" t="str">
            <v>20120-C</v>
          </cell>
        </row>
        <row r="1133">
          <cell r="A1133" t="str">
            <v>249RES</v>
          </cell>
        </row>
        <row r="1134">
          <cell r="A1134" t="str">
            <v>2808XXXXX9</v>
          </cell>
        </row>
        <row r="1135">
          <cell r="A1135" t="str">
            <v>2909XXXXX9</v>
          </cell>
        </row>
        <row r="1136">
          <cell r="A1136" t="str">
            <v>330780-01</v>
          </cell>
        </row>
        <row r="1137">
          <cell r="A1137" t="str">
            <v>40010347X</v>
          </cell>
        </row>
        <row r="1138">
          <cell r="A1138" t="str">
            <v>40010351X</v>
          </cell>
        </row>
        <row r="1139">
          <cell r="A1139" t="str">
            <v>40010358X</v>
          </cell>
        </row>
        <row r="1140">
          <cell r="A1140" t="str">
            <v>40010362X</v>
          </cell>
        </row>
        <row r="1141">
          <cell r="A1141" t="str">
            <v>40010377X</v>
          </cell>
        </row>
        <row r="1142">
          <cell r="A1142" t="str">
            <v>40010378X</v>
          </cell>
        </row>
        <row r="1143">
          <cell r="A1143" t="str">
            <v>40010384X</v>
          </cell>
        </row>
        <row r="1144">
          <cell r="A1144" t="str">
            <v>40010393X</v>
          </cell>
        </row>
        <row r="1145">
          <cell r="A1145" t="str">
            <v>40010399X</v>
          </cell>
        </row>
        <row r="1146">
          <cell r="A1146" t="str">
            <v>40010402X</v>
          </cell>
        </row>
        <row r="1147">
          <cell r="A1147" t="str">
            <v>40010406X</v>
          </cell>
        </row>
        <row r="1148">
          <cell r="A1148" t="str">
            <v>40010408X</v>
          </cell>
        </row>
        <row r="1149">
          <cell r="A1149" t="str">
            <v>40010450X</v>
          </cell>
        </row>
        <row r="1150">
          <cell r="A1150" t="str">
            <v>40010471X</v>
          </cell>
        </row>
        <row r="1151">
          <cell r="A1151" t="str">
            <v>40010472X</v>
          </cell>
        </row>
        <row r="1152">
          <cell r="A1152" t="str">
            <v>40010473X</v>
          </cell>
        </row>
        <row r="1153">
          <cell r="A1153" t="str">
            <v>40010474X</v>
          </cell>
        </row>
        <row r="1154">
          <cell r="A1154" t="str">
            <v>40010475X</v>
          </cell>
        </row>
        <row r="1155">
          <cell r="A1155" t="str">
            <v>40010476X</v>
          </cell>
        </row>
        <row r="1156">
          <cell r="A1156" t="str">
            <v>40010479X</v>
          </cell>
        </row>
        <row r="1157">
          <cell r="A1157" t="str">
            <v>40010492X</v>
          </cell>
        </row>
        <row r="1158">
          <cell r="A1158" t="str">
            <v>40010498X</v>
          </cell>
        </row>
        <row r="1159">
          <cell r="A1159" t="str">
            <v>40010503X</v>
          </cell>
        </row>
        <row r="1160">
          <cell r="A1160" t="str">
            <v>40010504X</v>
          </cell>
        </row>
        <row r="1161">
          <cell r="A1161" t="str">
            <v>40010510X</v>
          </cell>
        </row>
        <row r="1162">
          <cell r="A1162" t="str">
            <v>40010523X</v>
          </cell>
        </row>
        <row r="1163">
          <cell r="A1163" t="str">
            <v>40010524X</v>
          </cell>
        </row>
        <row r="1164">
          <cell r="A1164" t="str">
            <v>40016510X</v>
          </cell>
        </row>
        <row r="1165">
          <cell r="A1165" t="str">
            <v>40016511X</v>
          </cell>
        </row>
        <row r="1166">
          <cell r="A1166" t="str">
            <v>40016530X</v>
          </cell>
        </row>
        <row r="1167">
          <cell r="A1167" t="str">
            <v>40016531X</v>
          </cell>
        </row>
        <row r="1168">
          <cell r="A1168" t="str">
            <v>40020008X</v>
          </cell>
        </row>
        <row r="1169">
          <cell r="A1169" t="str">
            <v>40020009X</v>
          </cell>
        </row>
        <row r="1170">
          <cell r="A1170" t="str">
            <v>40020011X</v>
          </cell>
        </row>
        <row r="1171">
          <cell r="A1171" t="str">
            <v>40020015X</v>
          </cell>
        </row>
        <row r="1172">
          <cell r="A1172" t="str">
            <v>40110100X</v>
          </cell>
        </row>
        <row r="1173">
          <cell r="A1173" t="str">
            <v>40140132X</v>
          </cell>
        </row>
        <row r="1174">
          <cell r="A1174" t="str">
            <v>40650005X</v>
          </cell>
        </row>
        <row r="1175">
          <cell r="A1175" t="str">
            <v>40650006X</v>
          </cell>
        </row>
        <row r="1176">
          <cell r="A1176" t="str">
            <v>40650100X</v>
          </cell>
        </row>
        <row r="1177">
          <cell r="A1177" t="str">
            <v>40650102X</v>
          </cell>
        </row>
        <row r="1178">
          <cell r="A1178" t="str">
            <v>40650103X</v>
          </cell>
        </row>
        <row r="1179">
          <cell r="A1179" t="str">
            <v>40650108X</v>
          </cell>
        </row>
        <row r="1180">
          <cell r="A1180" t="str">
            <v>40650110X</v>
          </cell>
        </row>
        <row r="1181">
          <cell r="A1181" t="str">
            <v>40650114X</v>
          </cell>
        </row>
        <row r="1182">
          <cell r="A1182" t="str">
            <v>40650115X</v>
          </cell>
        </row>
        <row r="1183">
          <cell r="A1183" t="str">
            <v>40650127X</v>
          </cell>
        </row>
        <row r="1184">
          <cell r="A1184" t="str">
            <v>40650128X</v>
          </cell>
        </row>
        <row r="1185">
          <cell r="A1185" t="str">
            <v>40650129X</v>
          </cell>
        </row>
        <row r="1186">
          <cell r="A1186" t="str">
            <v>40650130X</v>
          </cell>
        </row>
        <row r="1187">
          <cell r="A1187" t="str">
            <v>40650131X</v>
          </cell>
        </row>
        <row r="1188">
          <cell r="A1188" t="str">
            <v>40650132X</v>
          </cell>
        </row>
        <row r="1189">
          <cell r="A1189" t="str">
            <v>40650137X</v>
          </cell>
        </row>
        <row r="1190">
          <cell r="A1190" t="str">
            <v>40650138X</v>
          </cell>
        </row>
        <row r="1191">
          <cell r="A1191" t="str">
            <v>40659020X</v>
          </cell>
        </row>
        <row r="1192">
          <cell r="A1192" t="str">
            <v>40659120X</v>
          </cell>
        </row>
        <row r="1193">
          <cell r="A1193" t="str">
            <v>40659122X</v>
          </cell>
        </row>
        <row r="1194">
          <cell r="A1194" t="str">
            <v>40659124X</v>
          </cell>
        </row>
        <row r="1195">
          <cell r="A1195" t="str">
            <v>40659126X</v>
          </cell>
        </row>
        <row r="1196">
          <cell r="A1196" t="str">
            <v>40700100X</v>
          </cell>
        </row>
        <row r="1197">
          <cell r="A1197" t="str">
            <v>4073090XX</v>
          </cell>
        </row>
        <row r="1198">
          <cell r="A1198" t="str">
            <v>602827-007</v>
          </cell>
        </row>
        <row r="1199">
          <cell r="A1199" t="str">
            <v>605110-0018</v>
          </cell>
        </row>
        <row r="1200">
          <cell r="A1200" t="str">
            <v>606014-0001</v>
          </cell>
        </row>
        <row r="1201">
          <cell r="A1201" t="str">
            <v>606014-0003</v>
          </cell>
        </row>
        <row r="1202">
          <cell r="A1202" t="str">
            <v>606105-0046</v>
          </cell>
        </row>
        <row r="1203">
          <cell r="A1203" t="str">
            <v>7716-C</v>
          </cell>
        </row>
        <row r="1204">
          <cell r="A1204" t="str">
            <v>7718-C</v>
          </cell>
        </row>
        <row r="1205">
          <cell r="A1205" t="str">
            <v>7728-C</v>
          </cell>
        </row>
        <row r="1206">
          <cell r="A1206" t="str">
            <v>7728EO-C</v>
          </cell>
        </row>
        <row r="1207">
          <cell r="A1207" t="str">
            <v>7756-C</v>
          </cell>
        </row>
        <row r="1208">
          <cell r="A1208" t="str">
            <v>7790A-C</v>
          </cell>
        </row>
        <row r="1209">
          <cell r="A1209" t="str">
            <v>7798B1-C</v>
          </cell>
        </row>
        <row r="1210">
          <cell r="A1210" t="str">
            <v>78010-C</v>
          </cell>
        </row>
        <row r="1211">
          <cell r="A1211" t="str">
            <v>78010R</v>
          </cell>
        </row>
        <row r="1212">
          <cell r="A1212" t="str">
            <v>78020-C</v>
          </cell>
        </row>
        <row r="1213">
          <cell r="A1213" t="str">
            <v>78025-C</v>
          </cell>
        </row>
        <row r="1214">
          <cell r="A1214" t="str">
            <v>78035-C</v>
          </cell>
        </row>
        <row r="1215">
          <cell r="A1215" t="str">
            <v>78041-C</v>
          </cell>
        </row>
        <row r="1216">
          <cell r="A1216" t="str">
            <v>78051-C</v>
          </cell>
        </row>
        <row r="1217">
          <cell r="A1217" t="str">
            <v>78061-C</v>
          </cell>
        </row>
        <row r="1218">
          <cell r="A1218" t="str">
            <v>7808-C</v>
          </cell>
        </row>
        <row r="1219">
          <cell r="A1219" t="str">
            <v>7810-C</v>
          </cell>
        </row>
        <row r="1220">
          <cell r="A1220" t="str">
            <v>801288-07</v>
          </cell>
        </row>
        <row r="1221">
          <cell r="A1221" t="str">
            <v>801288-08</v>
          </cell>
        </row>
        <row r="1222">
          <cell r="A1222" t="str">
            <v>83Z1100</v>
          </cell>
        </row>
        <row r="1224">
          <cell r="A1224">
            <v>9816904001</v>
          </cell>
        </row>
        <row r="1225">
          <cell r="A1225" t="str">
            <v>IDISC50</v>
          </cell>
        </row>
        <row r="1226">
          <cell r="A1226" t="str">
            <v>ISO30/MAG</v>
          </cell>
        </row>
        <row r="1227">
          <cell r="A1227" t="str">
            <v>ISO30/STD</v>
          </cell>
        </row>
        <row r="1228">
          <cell r="A1228" t="str">
            <v>SEVENSEATNR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P1061"/>
  <sheetViews>
    <sheetView tabSelected="1" view="pageBreakPreview" topLeftCell="A205" zoomScale="55" zoomScaleNormal="85" zoomScaleSheetLayoutView="55" workbookViewId="0">
      <selection activeCell="K303" sqref="K303"/>
    </sheetView>
  </sheetViews>
  <sheetFormatPr defaultColWidth="9.109375" defaultRowHeight="14.4" x14ac:dyDescent="0.35"/>
  <cols>
    <col min="1" max="1" width="7.77734375" style="17" customWidth="1"/>
    <col min="2" max="2" width="64" style="38" customWidth="1"/>
    <col min="3" max="3" width="11.44140625" style="69" customWidth="1"/>
    <col min="4" max="4" width="7.109375" style="69" customWidth="1"/>
    <col min="5" max="5" width="9.44140625" style="70" customWidth="1"/>
    <col min="6" max="6" width="9.44140625" style="71" customWidth="1"/>
    <col min="7" max="7" width="11.33203125" style="72" customWidth="1"/>
    <col min="8" max="8" width="14.77734375" style="72" customWidth="1"/>
    <col min="9" max="10" width="18.33203125" style="72" customWidth="1"/>
    <col min="11" max="11" width="15.44140625" style="72" customWidth="1"/>
    <col min="12" max="12" width="72.33203125" style="71" customWidth="1"/>
    <col min="13" max="16384" width="9.109375" style="15"/>
  </cols>
  <sheetData>
    <row r="1" spans="1:16" s="5" customFormat="1" ht="17.7" hidden="1" customHeight="1" x14ac:dyDescent="0.25">
      <c r="A1" s="1" t="s">
        <v>0</v>
      </c>
      <c r="B1" s="2" t="s">
        <v>1</v>
      </c>
      <c r="C1" s="3" t="s">
        <v>2</v>
      </c>
      <c r="D1" s="3"/>
      <c r="E1" s="4"/>
      <c r="F1" s="3"/>
      <c r="G1" s="3"/>
      <c r="H1" s="3"/>
      <c r="I1" s="3"/>
      <c r="J1" s="3"/>
      <c r="K1" s="3"/>
      <c r="L1" s="3"/>
    </row>
    <row r="2" spans="1:16" s="12" customFormat="1" ht="98.7" hidden="1" customHeight="1" x14ac:dyDescent="0.3">
      <c r="A2" s="1"/>
      <c r="B2" s="6" t="s">
        <v>3</v>
      </c>
      <c r="C2" s="7" t="s">
        <v>4</v>
      </c>
      <c r="D2" s="8" t="s">
        <v>5</v>
      </c>
      <c r="E2" s="9" t="s">
        <v>6</v>
      </c>
      <c r="F2" s="10" t="s">
        <v>7</v>
      </c>
      <c r="G2" s="11" t="s">
        <v>8</v>
      </c>
      <c r="H2" s="11"/>
      <c r="I2" s="11"/>
      <c r="J2" s="11"/>
      <c r="K2" s="11"/>
      <c r="L2" s="10"/>
    </row>
    <row r="3" spans="1:16" ht="16.8" hidden="1" customHeight="1" x14ac:dyDescent="0.35">
      <c r="A3" s="13"/>
      <c r="B3" s="14"/>
      <c r="C3" s="7"/>
      <c r="D3" s="8"/>
      <c r="E3" s="9"/>
      <c r="F3" s="10"/>
      <c r="G3" s="11"/>
      <c r="H3" s="11"/>
      <c r="I3" s="11"/>
      <c r="J3" s="11"/>
      <c r="K3" s="11"/>
      <c r="L3" s="10"/>
    </row>
    <row r="4" spans="1:16" ht="15.6" hidden="1" customHeight="1" x14ac:dyDescent="0.35">
      <c r="A4" s="16"/>
      <c r="B4" s="14"/>
      <c r="C4" s="7"/>
      <c r="D4" s="8"/>
      <c r="E4" s="9"/>
      <c r="F4" s="10"/>
      <c r="G4" s="11"/>
      <c r="H4" s="11"/>
      <c r="I4" s="11"/>
      <c r="J4" s="11"/>
      <c r="K4" s="11"/>
      <c r="L4" s="10"/>
    </row>
    <row r="5" spans="1:16" s="24" customFormat="1" ht="19.2" hidden="1" customHeight="1" x14ac:dyDescent="0.25">
      <c r="A5" s="17"/>
      <c r="B5" s="18"/>
      <c r="C5" s="19"/>
      <c r="D5" s="20"/>
      <c r="E5" s="21"/>
      <c r="F5" s="22"/>
      <c r="G5" s="23"/>
      <c r="H5" s="23"/>
      <c r="I5" s="23"/>
      <c r="J5" s="23"/>
      <c r="K5" s="23"/>
      <c r="L5" s="22"/>
    </row>
    <row r="6" spans="1:16" s="24" customFormat="1" ht="14.4" hidden="1" customHeight="1" x14ac:dyDescent="0.25">
      <c r="A6" s="17"/>
      <c r="B6" s="25"/>
      <c r="C6" s="19"/>
      <c r="D6" s="20"/>
      <c r="E6" s="21"/>
      <c r="F6" s="22"/>
      <c r="G6" s="23"/>
      <c r="H6" s="23"/>
      <c r="I6" s="23"/>
      <c r="J6" s="23"/>
      <c r="K6" s="23"/>
      <c r="L6" s="22"/>
    </row>
    <row r="7" spans="1:16" s="24" customFormat="1" ht="13.5" hidden="1" customHeight="1" x14ac:dyDescent="0.25">
      <c r="A7" s="17"/>
      <c r="B7" s="26"/>
      <c r="C7" s="19"/>
      <c r="D7" s="20"/>
      <c r="E7" s="21"/>
      <c r="F7" s="22"/>
      <c r="G7" s="27"/>
      <c r="H7" s="27"/>
      <c r="I7" s="27"/>
      <c r="J7" s="27"/>
      <c r="K7" s="27"/>
      <c r="L7" s="22"/>
    </row>
    <row r="8" spans="1:16" s="33" customFormat="1" ht="14.1" hidden="1" customHeight="1" x14ac:dyDescent="0.25">
      <c r="A8" s="16"/>
      <c r="B8" s="28"/>
      <c r="C8" s="16"/>
      <c r="D8" s="29"/>
      <c r="E8" s="30"/>
      <c r="F8" s="31"/>
      <c r="G8" s="32"/>
      <c r="H8" s="32"/>
      <c r="I8" s="32"/>
      <c r="J8" s="32"/>
      <c r="K8" s="32"/>
      <c r="L8" s="31"/>
    </row>
    <row r="9" spans="1:16" s="24" customFormat="1" ht="12.3" hidden="1" customHeight="1" x14ac:dyDescent="0.25">
      <c r="A9" s="16"/>
      <c r="B9" s="34" t="s">
        <v>9</v>
      </c>
      <c r="C9" s="19">
        <v>0</v>
      </c>
      <c r="D9" s="20">
        <v>0</v>
      </c>
      <c r="E9" s="21">
        <v>0</v>
      </c>
      <c r="F9" s="22">
        <v>0</v>
      </c>
      <c r="G9" s="35">
        <v>0</v>
      </c>
      <c r="H9" s="35"/>
      <c r="I9" s="35"/>
      <c r="J9" s="35"/>
      <c r="K9" s="35"/>
      <c r="L9" s="22"/>
    </row>
    <row r="10" spans="1:16" s="24" customFormat="1" ht="7.8" hidden="1" customHeight="1" x14ac:dyDescent="0.25">
      <c r="A10" s="16"/>
      <c r="B10" s="34" t="s">
        <v>10</v>
      </c>
      <c r="C10" s="19">
        <v>0</v>
      </c>
      <c r="D10" s="20">
        <v>0</v>
      </c>
      <c r="E10" s="21">
        <v>0</v>
      </c>
      <c r="F10" s="22">
        <v>0</v>
      </c>
      <c r="G10" s="35">
        <v>0</v>
      </c>
      <c r="H10" s="35"/>
      <c r="I10" s="35"/>
      <c r="J10" s="35"/>
      <c r="K10" s="35"/>
      <c r="L10" s="22"/>
    </row>
    <row r="11" spans="1:16" s="24" customFormat="1" ht="46.2" customHeight="1" x14ac:dyDescent="0.25">
      <c r="A11" s="36" t="s">
        <v>11</v>
      </c>
      <c r="B11" s="2" t="s">
        <v>1</v>
      </c>
      <c r="C11" s="90" t="s">
        <v>2</v>
      </c>
      <c r="D11" s="90"/>
      <c r="E11" s="90"/>
      <c r="F11" s="90"/>
      <c r="G11" s="90"/>
      <c r="H11" s="77"/>
      <c r="I11" s="77"/>
      <c r="J11" s="77"/>
      <c r="K11" s="77"/>
      <c r="L11" s="75" t="s">
        <v>460</v>
      </c>
      <c r="M11" s="86"/>
      <c r="N11" s="86"/>
      <c r="O11" s="86"/>
      <c r="P11" s="86"/>
    </row>
    <row r="12" spans="1:16" s="12" customFormat="1" ht="114" customHeight="1" x14ac:dyDescent="0.3">
      <c r="A12" s="37"/>
      <c r="B12" s="6" t="s">
        <v>12</v>
      </c>
      <c r="C12" s="98" t="s">
        <v>469</v>
      </c>
      <c r="D12" s="41" t="s">
        <v>470</v>
      </c>
      <c r="E12" s="42" t="s">
        <v>471</v>
      </c>
      <c r="F12" s="42" t="s">
        <v>472</v>
      </c>
      <c r="G12" s="99" t="s">
        <v>473</v>
      </c>
      <c r="H12" s="96" t="s">
        <v>464</v>
      </c>
      <c r="I12" s="96" t="s">
        <v>465</v>
      </c>
      <c r="J12" s="96" t="s">
        <v>466</v>
      </c>
      <c r="K12" s="96" t="s">
        <v>468</v>
      </c>
      <c r="L12" s="88" t="s">
        <v>475</v>
      </c>
    </row>
    <row r="13" spans="1:16" ht="19.95" customHeight="1" x14ac:dyDescent="0.35">
      <c r="A13" s="13">
        <v>3</v>
      </c>
      <c r="B13" s="14" t="s">
        <v>13</v>
      </c>
      <c r="C13" s="7"/>
      <c r="D13" s="8"/>
      <c r="E13" s="9"/>
      <c r="F13" s="10"/>
      <c r="G13" s="21"/>
      <c r="H13" s="11"/>
      <c r="I13" s="11"/>
      <c r="J13" s="11"/>
      <c r="K13" s="11"/>
      <c r="L13" s="10"/>
    </row>
    <row r="14" spans="1:16" ht="19.95" customHeight="1" x14ac:dyDescent="0.35">
      <c r="A14" s="16"/>
      <c r="B14" s="14" t="s">
        <v>14</v>
      </c>
      <c r="C14" s="7"/>
      <c r="D14" s="8"/>
      <c r="E14" s="9"/>
      <c r="F14" s="10"/>
      <c r="G14" s="21"/>
      <c r="H14" s="11"/>
      <c r="I14" s="11"/>
      <c r="J14" s="11"/>
      <c r="K14" s="11"/>
      <c r="L14" s="10"/>
    </row>
    <row r="15" spans="1:16" s="24" customFormat="1" ht="19.95" customHeight="1" x14ac:dyDescent="0.25">
      <c r="A15" s="17"/>
      <c r="B15" s="38" t="s">
        <v>15</v>
      </c>
      <c r="C15" s="19"/>
      <c r="D15" s="20"/>
      <c r="E15" s="21">
        <v>6</v>
      </c>
      <c r="F15" s="10"/>
      <c r="H15" s="97" t="s">
        <v>467</v>
      </c>
      <c r="I15" s="97" t="s">
        <v>467</v>
      </c>
      <c r="J15" s="97" t="s">
        <v>467</v>
      </c>
      <c r="K15" s="11"/>
      <c r="L15" s="22"/>
    </row>
    <row r="16" spans="1:16" s="24" customFormat="1" ht="19.95" customHeight="1" x14ac:dyDescent="0.25">
      <c r="A16" s="17"/>
      <c r="B16" s="38" t="s">
        <v>259</v>
      </c>
      <c r="C16" s="19"/>
      <c r="D16" s="20"/>
      <c r="E16" s="21">
        <v>3</v>
      </c>
      <c r="F16" s="10"/>
      <c r="G16" s="21"/>
      <c r="H16" s="97" t="s">
        <v>467</v>
      </c>
      <c r="I16" s="97" t="s">
        <v>467</v>
      </c>
      <c r="J16" s="97" t="s">
        <v>467</v>
      </c>
      <c r="K16" s="11"/>
      <c r="L16" s="87"/>
    </row>
    <row r="17" spans="1:12" s="24" customFormat="1" ht="19.95" customHeight="1" x14ac:dyDescent="0.25">
      <c r="A17" s="17"/>
      <c r="B17" s="38" t="s">
        <v>18</v>
      </c>
      <c r="C17" s="19"/>
      <c r="D17" s="20"/>
      <c r="E17" s="21">
        <v>3</v>
      </c>
      <c r="F17" s="10"/>
      <c r="H17" s="97" t="s">
        <v>467</v>
      </c>
      <c r="I17" s="97" t="s">
        <v>467</v>
      </c>
      <c r="J17" s="97" t="s">
        <v>467</v>
      </c>
      <c r="K17" s="11"/>
      <c r="L17" s="22"/>
    </row>
    <row r="18" spans="1:12" s="24" customFormat="1" ht="19.95" customHeight="1" x14ac:dyDescent="0.25">
      <c r="A18" s="17"/>
      <c r="B18" s="38" t="s">
        <v>19</v>
      </c>
      <c r="C18" s="19"/>
      <c r="D18" s="20">
        <f>1*A13</f>
        <v>3</v>
      </c>
      <c r="E18" s="21"/>
      <c r="F18" s="10"/>
      <c r="G18" s="21"/>
      <c r="H18" s="97" t="s">
        <v>467</v>
      </c>
      <c r="I18" s="97" t="s">
        <v>467</v>
      </c>
      <c r="J18" s="97" t="s">
        <v>467</v>
      </c>
      <c r="K18" s="11"/>
      <c r="L18" s="22"/>
    </row>
    <row r="19" spans="1:12" s="24" customFormat="1" ht="19.95" customHeight="1" x14ac:dyDescent="0.25">
      <c r="A19" s="17"/>
      <c r="B19" s="38" t="s">
        <v>20</v>
      </c>
      <c r="C19" s="19">
        <f>D18</f>
        <v>3</v>
      </c>
      <c r="D19" s="20"/>
      <c r="E19" s="21"/>
      <c r="F19" s="22"/>
      <c r="G19" s="21"/>
      <c r="H19" s="97" t="s">
        <v>467</v>
      </c>
      <c r="I19" s="97" t="s">
        <v>467</v>
      </c>
      <c r="J19" s="97" t="s">
        <v>467</v>
      </c>
      <c r="K19" s="11"/>
      <c r="L19" s="22"/>
    </row>
    <row r="20" spans="1:12" s="24" customFormat="1" ht="19.95" customHeight="1" x14ac:dyDescent="0.25">
      <c r="A20" s="17"/>
      <c r="B20" s="38" t="s">
        <v>21</v>
      </c>
      <c r="C20" s="19">
        <f>D18</f>
        <v>3</v>
      </c>
      <c r="D20" s="20"/>
      <c r="E20" s="21"/>
      <c r="F20" s="22"/>
      <c r="G20" s="21"/>
      <c r="H20" s="97" t="s">
        <v>467</v>
      </c>
      <c r="I20" s="97" t="s">
        <v>467</v>
      </c>
      <c r="J20" s="97" t="s">
        <v>467</v>
      </c>
      <c r="K20" s="11"/>
      <c r="L20" s="22"/>
    </row>
    <row r="21" spans="1:12" s="24" customFormat="1" ht="19.95" customHeight="1" x14ac:dyDescent="0.25">
      <c r="A21" s="17"/>
      <c r="B21" s="38" t="s">
        <v>22</v>
      </c>
      <c r="C21" s="19">
        <f>D18</f>
        <v>3</v>
      </c>
      <c r="D21" s="20"/>
      <c r="E21" s="21"/>
      <c r="F21" s="22"/>
      <c r="G21" s="21"/>
      <c r="H21" s="97" t="s">
        <v>467</v>
      </c>
      <c r="I21" s="97" t="s">
        <v>467</v>
      </c>
      <c r="J21" s="97" t="s">
        <v>467</v>
      </c>
      <c r="K21" s="11"/>
      <c r="L21" s="22"/>
    </row>
    <row r="22" spans="1:12" s="24" customFormat="1" ht="19.95" customHeight="1" x14ac:dyDescent="0.25">
      <c r="A22" s="17"/>
      <c r="B22" s="39" t="s">
        <v>23</v>
      </c>
      <c r="C22" s="19"/>
      <c r="D22" s="20"/>
      <c r="E22" s="21">
        <f>1*A13</f>
        <v>3</v>
      </c>
      <c r="F22" s="22">
        <f>1*A13</f>
        <v>3</v>
      </c>
      <c r="G22" s="21"/>
      <c r="H22" s="97" t="s">
        <v>467</v>
      </c>
      <c r="I22" s="97" t="s">
        <v>467</v>
      </c>
      <c r="J22" s="97" t="s">
        <v>467</v>
      </c>
      <c r="K22" s="11"/>
      <c r="L22" s="22"/>
    </row>
    <row r="23" spans="1:12" s="24" customFormat="1" ht="19.95" customHeight="1" x14ac:dyDescent="0.25">
      <c r="A23" s="17"/>
      <c r="B23" s="39" t="s">
        <v>24</v>
      </c>
      <c r="C23" s="19"/>
      <c r="D23" s="20"/>
      <c r="E23" s="21">
        <f>1*A13</f>
        <v>3</v>
      </c>
      <c r="F23" s="22"/>
      <c r="G23" s="21"/>
      <c r="H23" s="97" t="s">
        <v>467</v>
      </c>
      <c r="I23" s="97" t="s">
        <v>467</v>
      </c>
      <c r="J23" s="97" t="s">
        <v>467</v>
      </c>
      <c r="K23" s="11"/>
      <c r="L23" s="22"/>
    </row>
    <row r="24" spans="1:12" s="24" customFormat="1" ht="19.95" customHeight="1" x14ac:dyDescent="0.25">
      <c r="A24" s="17"/>
      <c r="B24" s="39"/>
      <c r="C24" s="19"/>
      <c r="D24" s="20"/>
      <c r="E24" s="21"/>
      <c r="F24" s="22"/>
      <c r="G24" s="21"/>
      <c r="H24" s="11"/>
      <c r="I24" s="11"/>
      <c r="J24" s="11"/>
      <c r="K24" s="11"/>
      <c r="L24" s="22"/>
    </row>
    <row r="25" spans="1:12" ht="19.95" customHeight="1" x14ac:dyDescent="0.35">
      <c r="A25" s="13">
        <v>1</v>
      </c>
      <c r="B25" s="14" t="s">
        <v>25</v>
      </c>
      <c r="C25" s="7"/>
      <c r="D25" s="8"/>
      <c r="E25" s="9"/>
      <c r="F25" s="10"/>
      <c r="G25" s="21"/>
      <c r="H25" s="11"/>
      <c r="I25" s="11"/>
      <c r="J25" s="11"/>
      <c r="K25" s="11"/>
      <c r="L25" s="10"/>
    </row>
    <row r="26" spans="1:12" ht="19.95" customHeight="1" x14ac:dyDescent="0.35">
      <c r="A26" s="16"/>
      <c r="B26" s="14" t="s">
        <v>260</v>
      </c>
      <c r="C26" s="7"/>
      <c r="D26" s="8"/>
      <c r="E26" s="9"/>
      <c r="F26" s="10"/>
      <c r="G26" s="21"/>
      <c r="H26" s="11"/>
      <c r="I26" s="11"/>
      <c r="J26" s="11"/>
      <c r="K26" s="11"/>
      <c r="L26" s="87"/>
    </row>
    <row r="27" spans="1:12" s="24" customFormat="1" ht="19.95" customHeight="1" x14ac:dyDescent="0.25">
      <c r="A27" s="17"/>
      <c r="B27" s="38" t="s">
        <v>26</v>
      </c>
      <c r="C27" s="40">
        <f>A25*1</f>
        <v>1</v>
      </c>
      <c r="D27" s="41"/>
      <c r="E27" s="42"/>
      <c r="F27" s="43"/>
      <c r="G27" s="21"/>
      <c r="H27" s="97" t="s">
        <v>467</v>
      </c>
      <c r="I27" s="97" t="s">
        <v>467</v>
      </c>
      <c r="J27" s="97" t="s">
        <v>467</v>
      </c>
      <c r="K27" s="11"/>
      <c r="L27" s="43"/>
    </row>
    <row r="28" spans="1:12" s="24" customFormat="1" ht="19.95" customHeight="1" x14ac:dyDescent="0.25">
      <c r="A28" s="17"/>
      <c r="B28" s="38" t="s">
        <v>27</v>
      </c>
      <c r="C28" s="40">
        <f>A25*1</f>
        <v>1</v>
      </c>
      <c r="D28" s="41"/>
      <c r="E28" s="42"/>
      <c r="F28" s="43"/>
      <c r="G28" s="11"/>
      <c r="H28" s="97" t="s">
        <v>467</v>
      </c>
      <c r="I28" s="97" t="s">
        <v>467</v>
      </c>
      <c r="J28" s="97" t="s">
        <v>467</v>
      </c>
      <c r="K28" s="11"/>
      <c r="L28" s="43"/>
    </row>
    <row r="29" spans="1:12" s="24" customFormat="1" ht="19.95" customHeight="1" x14ac:dyDescent="0.25">
      <c r="A29" s="17"/>
      <c r="B29" s="38"/>
      <c r="C29" s="40"/>
      <c r="D29" s="41"/>
      <c r="E29" s="42"/>
      <c r="F29" s="43"/>
      <c r="G29" s="11"/>
      <c r="H29" s="11"/>
      <c r="I29" s="11"/>
      <c r="J29" s="11"/>
      <c r="K29" s="11"/>
      <c r="L29" s="43"/>
    </row>
    <row r="30" spans="1:12" ht="19.95" customHeight="1" x14ac:dyDescent="0.35">
      <c r="A30" s="13">
        <v>1</v>
      </c>
      <c r="B30" s="14" t="s">
        <v>243</v>
      </c>
      <c r="C30" s="7"/>
      <c r="D30" s="8"/>
      <c r="E30" s="9"/>
      <c r="F30" s="10"/>
      <c r="G30" s="11"/>
      <c r="H30" s="11"/>
      <c r="I30" s="11"/>
      <c r="J30" s="11"/>
      <c r="K30" s="11"/>
      <c r="L30" s="10"/>
    </row>
    <row r="31" spans="1:12" ht="19.95" customHeight="1" x14ac:dyDescent="0.35">
      <c r="A31" s="16"/>
      <c r="B31" s="14"/>
      <c r="C31" s="7"/>
      <c r="D31" s="8"/>
      <c r="E31" s="9"/>
      <c r="F31" s="10"/>
      <c r="G31" s="11"/>
      <c r="H31" s="11"/>
      <c r="I31" s="11"/>
      <c r="J31" s="11"/>
      <c r="K31" s="11"/>
      <c r="L31" s="10"/>
    </row>
    <row r="32" spans="1:12" s="24" customFormat="1" ht="19.95" customHeight="1" x14ac:dyDescent="0.25">
      <c r="A32" s="17"/>
      <c r="B32" s="38" t="s">
        <v>244</v>
      </c>
      <c r="C32" s="40">
        <v>1</v>
      </c>
      <c r="D32" s="41"/>
      <c r="E32" s="42"/>
      <c r="F32" s="43"/>
      <c r="G32" s="11"/>
      <c r="H32" s="97" t="s">
        <v>467</v>
      </c>
      <c r="I32" s="97" t="s">
        <v>467</v>
      </c>
      <c r="J32" s="97" t="s">
        <v>467</v>
      </c>
      <c r="K32" s="11"/>
      <c r="L32" s="43"/>
    </row>
    <row r="33" spans="1:12" s="24" customFormat="1" ht="19.95" customHeight="1" x14ac:dyDescent="0.25">
      <c r="A33" s="17"/>
      <c r="B33" s="38"/>
      <c r="C33" s="40"/>
      <c r="D33" s="41"/>
      <c r="E33" s="42"/>
      <c r="F33" s="43"/>
      <c r="G33" s="11"/>
      <c r="H33" s="11"/>
      <c r="I33" s="11"/>
      <c r="J33" s="11"/>
      <c r="K33" s="11"/>
      <c r="L33" s="43"/>
    </row>
    <row r="34" spans="1:12" s="24" customFormat="1" ht="19.95" customHeight="1" x14ac:dyDescent="0.25">
      <c r="A34" s="17"/>
      <c r="B34" s="38"/>
      <c r="C34" s="40"/>
      <c r="D34" s="41"/>
      <c r="E34" s="42"/>
      <c r="F34" s="43"/>
      <c r="G34" s="11"/>
      <c r="H34" s="11"/>
      <c r="I34" s="11"/>
      <c r="J34" s="11"/>
      <c r="K34" s="11"/>
      <c r="L34" s="43"/>
    </row>
    <row r="35" spans="1:12" s="24" customFormat="1" ht="19.95" customHeight="1" x14ac:dyDescent="0.25">
      <c r="A35" s="44"/>
      <c r="B35" s="45" t="s">
        <v>10</v>
      </c>
      <c r="C35" s="46">
        <f>SUM(C15:C34)</f>
        <v>12</v>
      </c>
      <c r="D35" s="46">
        <f>SUM(D15:D34)</f>
        <v>3</v>
      </c>
      <c r="E35" s="46">
        <f>SUM(E15:E34)</f>
        <v>18</v>
      </c>
      <c r="F35" s="46">
        <f>SUM(F15:F34)</f>
        <v>3</v>
      </c>
      <c r="G35" s="46">
        <f>SUM(G15:G34)</f>
        <v>0</v>
      </c>
      <c r="H35" s="46"/>
      <c r="I35" s="46"/>
      <c r="J35" s="46"/>
      <c r="K35" s="46"/>
      <c r="L35" s="46"/>
    </row>
    <row r="36" spans="1:12" s="24" customFormat="1" ht="19.95" customHeight="1" x14ac:dyDescent="0.25">
      <c r="A36" s="47"/>
      <c r="B36" s="48"/>
      <c r="C36" s="40"/>
      <c r="D36" s="40"/>
      <c r="E36" s="40"/>
      <c r="F36" s="40"/>
      <c r="G36" s="40"/>
      <c r="H36" s="40"/>
      <c r="I36" s="40"/>
      <c r="J36" s="40"/>
      <c r="K36" s="40"/>
      <c r="L36" s="40"/>
    </row>
    <row r="37" spans="1:12" customFormat="1" ht="41.4" customHeight="1" x14ac:dyDescent="0.25">
      <c r="A37" s="36" t="s">
        <v>11</v>
      </c>
      <c r="B37" s="2" t="s">
        <v>1</v>
      </c>
      <c r="C37" s="90" t="s">
        <v>2</v>
      </c>
      <c r="D37" s="90"/>
      <c r="E37" s="90"/>
      <c r="F37" s="90"/>
      <c r="G37" s="90"/>
      <c r="H37" s="95"/>
      <c r="I37" s="95"/>
      <c r="J37" s="95"/>
      <c r="K37" s="95"/>
    </row>
    <row r="38" spans="1:12" s="12" customFormat="1" ht="113.4" customHeight="1" x14ac:dyDescent="0.3">
      <c r="A38" s="1"/>
      <c r="B38" s="6" t="s">
        <v>30</v>
      </c>
      <c r="C38" s="98" t="s">
        <v>469</v>
      </c>
      <c r="D38" s="41" t="s">
        <v>470</v>
      </c>
      <c r="E38" s="42" t="s">
        <v>471</v>
      </c>
      <c r="F38" s="42" t="s">
        <v>472</v>
      </c>
      <c r="G38" s="99" t="s">
        <v>473</v>
      </c>
      <c r="H38" s="96" t="s">
        <v>464</v>
      </c>
      <c r="I38" s="96" t="s">
        <v>465</v>
      </c>
      <c r="J38" s="96" t="s">
        <v>466</v>
      </c>
      <c r="K38" s="96" t="s">
        <v>468</v>
      </c>
      <c r="L38" s="10"/>
    </row>
    <row r="39" spans="1:12" ht="19.95" customHeight="1" x14ac:dyDescent="0.35">
      <c r="A39" s="13">
        <v>3</v>
      </c>
      <c r="B39" s="14" t="s">
        <v>13</v>
      </c>
      <c r="C39" s="7"/>
      <c r="D39" s="8"/>
      <c r="E39" s="9"/>
      <c r="F39" s="10"/>
      <c r="G39" s="11"/>
      <c r="H39" s="11"/>
      <c r="I39" s="11"/>
      <c r="J39" s="11"/>
      <c r="K39" s="11"/>
      <c r="L39" s="10"/>
    </row>
    <row r="40" spans="1:12" ht="19.95" customHeight="1" x14ac:dyDescent="0.35">
      <c r="A40" s="16"/>
      <c r="B40" s="14" t="s">
        <v>31</v>
      </c>
      <c r="C40" s="7"/>
      <c r="D40" s="8"/>
      <c r="E40" s="9"/>
      <c r="F40" s="10"/>
      <c r="G40" s="11"/>
      <c r="H40" s="11"/>
      <c r="I40" s="11"/>
      <c r="J40" s="11"/>
      <c r="K40" s="11"/>
      <c r="L40" s="10"/>
    </row>
    <row r="41" spans="1:12" s="24" customFormat="1" ht="19.95" customHeight="1" x14ac:dyDescent="0.25">
      <c r="A41" s="17"/>
      <c r="B41" s="38" t="s">
        <v>15</v>
      </c>
      <c r="C41" s="19"/>
      <c r="D41" s="20"/>
      <c r="E41" s="21">
        <v>6</v>
      </c>
      <c r="F41" s="10"/>
      <c r="H41" s="97" t="s">
        <v>467</v>
      </c>
      <c r="I41" s="97" t="s">
        <v>467</v>
      </c>
      <c r="J41" s="97" t="s">
        <v>467</v>
      </c>
      <c r="K41" s="11"/>
      <c r="L41" s="22"/>
    </row>
    <row r="42" spans="1:12" s="24" customFormat="1" ht="19.95" customHeight="1" x14ac:dyDescent="0.25">
      <c r="A42" s="17"/>
      <c r="B42" s="38" t="s">
        <v>259</v>
      </c>
      <c r="C42" s="19"/>
      <c r="D42" s="20"/>
      <c r="E42" s="21">
        <v>3</v>
      </c>
      <c r="F42" s="10"/>
      <c r="G42" s="21"/>
      <c r="H42" s="97" t="s">
        <v>467</v>
      </c>
      <c r="I42" s="97" t="s">
        <v>467</v>
      </c>
      <c r="J42" s="97" t="s">
        <v>467</v>
      </c>
      <c r="K42" s="11"/>
      <c r="L42" s="87"/>
    </row>
    <row r="43" spans="1:12" s="24" customFormat="1" ht="19.95" customHeight="1" x14ac:dyDescent="0.25">
      <c r="A43" s="17"/>
      <c r="B43" s="38" t="s">
        <v>18</v>
      </c>
      <c r="C43" s="19"/>
      <c r="D43" s="20"/>
      <c r="E43" s="21">
        <v>3</v>
      </c>
      <c r="F43" s="10"/>
      <c r="H43" s="97" t="s">
        <v>467</v>
      </c>
      <c r="I43" s="97" t="s">
        <v>467</v>
      </c>
      <c r="J43" s="97" t="s">
        <v>467</v>
      </c>
      <c r="K43" s="11"/>
      <c r="L43" s="22"/>
    </row>
    <row r="44" spans="1:12" s="24" customFormat="1" ht="19.95" customHeight="1" x14ac:dyDescent="0.25">
      <c r="A44" s="17"/>
      <c r="B44" s="38" t="s">
        <v>19</v>
      </c>
      <c r="C44" s="19"/>
      <c r="D44" s="20">
        <f>1*A39</f>
        <v>3</v>
      </c>
      <c r="E44" s="21"/>
      <c r="F44" s="22"/>
      <c r="G44" s="21"/>
      <c r="H44" s="97" t="s">
        <v>467</v>
      </c>
      <c r="I44" s="97" t="s">
        <v>467</v>
      </c>
      <c r="J44" s="97" t="s">
        <v>467</v>
      </c>
      <c r="K44" s="11"/>
      <c r="L44" s="22"/>
    </row>
    <row r="45" spans="1:12" s="24" customFormat="1" ht="19.95" customHeight="1" x14ac:dyDescent="0.25">
      <c r="A45" s="17"/>
      <c r="B45" s="38" t="s">
        <v>20</v>
      </c>
      <c r="C45" s="19">
        <f>D44</f>
        <v>3</v>
      </c>
      <c r="D45" s="20"/>
      <c r="E45" s="21"/>
      <c r="F45" s="22"/>
      <c r="G45" s="21"/>
      <c r="H45" s="97" t="s">
        <v>467</v>
      </c>
      <c r="I45" s="97" t="s">
        <v>467</v>
      </c>
      <c r="J45" s="97" t="s">
        <v>467</v>
      </c>
      <c r="K45" s="11"/>
      <c r="L45" s="22"/>
    </row>
    <row r="46" spans="1:12" s="24" customFormat="1" ht="19.95" customHeight="1" x14ac:dyDescent="0.25">
      <c r="A46" s="17"/>
      <c r="B46" s="38" t="s">
        <v>21</v>
      </c>
      <c r="C46" s="19">
        <f>D44</f>
        <v>3</v>
      </c>
      <c r="D46" s="20"/>
      <c r="E46" s="21"/>
      <c r="F46" s="22"/>
      <c r="G46" s="21"/>
      <c r="H46" s="97" t="s">
        <v>467</v>
      </c>
      <c r="I46" s="97" t="s">
        <v>467</v>
      </c>
      <c r="J46" s="97" t="s">
        <v>467</v>
      </c>
      <c r="K46" s="11"/>
      <c r="L46" s="22"/>
    </row>
    <row r="47" spans="1:12" s="24" customFormat="1" ht="19.95" customHeight="1" x14ac:dyDescent="0.25">
      <c r="A47" s="17"/>
      <c r="B47" s="38" t="s">
        <v>22</v>
      </c>
      <c r="C47" s="19">
        <f>D44</f>
        <v>3</v>
      </c>
      <c r="D47" s="20"/>
      <c r="E47" s="21"/>
      <c r="F47" s="22"/>
      <c r="G47" s="21"/>
      <c r="H47" s="97" t="s">
        <v>467</v>
      </c>
      <c r="I47" s="97" t="s">
        <v>467</v>
      </c>
      <c r="J47" s="97" t="s">
        <v>467</v>
      </c>
      <c r="K47" s="11"/>
      <c r="L47" s="22"/>
    </row>
    <row r="48" spans="1:12" s="24" customFormat="1" ht="19.95" customHeight="1" x14ac:dyDescent="0.25">
      <c r="A48" s="17"/>
      <c r="B48" s="39" t="s">
        <v>23</v>
      </c>
      <c r="C48" s="19"/>
      <c r="D48" s="20"/>
      <c r="E48" s="21">
        <f>1*A39</f>
        <v>3</v>
      </c>
      <c r="F48" s="22">
        <f>1*A39</f>
        <v>3</v>
      </c>
      <c r="G48" s="21"/>
      <c r="H48" s="97" t="s">
        <v>467</v>
      </c>
      <c r="I48" s="97" t="s">
        <v>467</v>
      </c>
      <c r="J48" s="97" t="s">
        <v>467</v>
      </c>
      <c r="K48" s="11"/>
      <c r="L48" s="22"/>
    </row>
    <row r="49" spans="1:12" s="24" customFormat="1" ht="19.95" customHeight="1" x14ac:dyDescent="0.25">
      <c r="A49" s="17"/>
      <c r="B49" s="39" t="s">
        <v>24</v>
      </c>
      <c r="C49" s="19"/>
      <c r="D49" s="20"/>
      <c r="E49" s="21">
        <f>1*A39</f>
        <v>3</v>
      </c>
      <c r="F49" s="22"/>
      <c r="G49" s="21"/>
      <c r="H49" s="97" t="s">
        <v>467</v>
      </c>
      <c r="I49" s="97" t="s">
        <v>467</v>
      </c>
      <c r="J49" s="97" t="s">
        <v>467</v>
      </c>
      <c r="K49" s="11"/>
      <c r="L49" s="22"/>
    </row>
    <row r="50" spans="1:12" s="24" customFormat="1" ht="19.95" customHeight="1" x14ac:dyDescent="0.25">
      <c r="A50" s="17"/>
      <c r="B50" s="39"/>
      <c r="C50" s="19"/>
      <c r="D50" s="20"/>
      <c r="E50" s="21"/>
      <c r="F50" s="22"/>
      <c r="G50" s="21"/>
      <c r="H50" s="11"/>
      <c r="I50" s="11"/>
      <c r="J50" s="11"/>
      <c r="K50" s="11"/>
      <c r="L50" s="22"/>
    </row>
    <row r="51" spans="1:12" ht="19.95" customHeight="1" x14ac:dyDescent="0.35">
      <c r="A51" s="13">
        <v>2</v>
      </c>
      <c r="B51" s="14" t="s">
        <v>32</v>
      </c>
      <c r="C51" s="7"/>
      <c r="D51" s="8"/>
      <c r="E51" s="9"/>
      <c r="F51" s="10"/>
      <c r="G51" s="11"/>
      <c r="H51" s="11"/>
      <c r="I51" s="11"/>
      <c r="J51" s="11"/>
      <c r="K51" s="11"/>
      <c r="L51" s="10"/>
    </row>
    <row r="52" spans="1:12" s="24" customFormat="1" ht="19.95" customHeight="1" x14ac:dyDescent="0.25">
      <c r="A52" s="16"/>
      <c r="B52" s="14" t="s">
        <v>33</v>
      </c>
      <c r="C52" s="7"/>
      <c r="D52" s="8"/>
      <c r="E52" s="9"/>
      <c r="F52" s="10"/>
      <c r="G52" s="11"/>
      <c r="H52" s="11"/>
      <c r="I52" s="11"/>
      <c r="J52" s="11"/>
      <c r="K52" s="11"/>
      <c r="L52" s="10"/>
    </row>
    <row r="53" spans="1:12" s="24" customFormat="1" ht="19.95" customHeight="1" x14ac:dyDescent="0.25">
      <c r="A53" s="17"/>
      <c r="B53" s="38" t="s">
        <v>34</v>
      </c>
      <c r="C53" s="40"/>
      <c r="D53" s="41"/>
      <c r="E53" s="42">
        <f>A51*1</f>
        <v>2</v>
      </c>
      <c r="F53" s="43"/>
      <c r="G53" s="11"/>
      <c r="H53" s="97" t="s">
        <v>467</v>
      </c>
      <c r="I53" s="97" t="s">
        <v>467</v>
      </c>
      <c r="J53" s="97" t="s">
        <v>467</v>
      </c>
      <c r="K53" s="11"/>
      <c r="L53" s="43"/>
    </row>
    <row r="54" spans="1:12" ht="19.95" customHeight="1" x14ac:dyDescent="0.35">
      <c r="B54" s="38" t="s">
        <v>35</v>
      </c>
      <c r="C54" s="40"/>
      <c r="D54" s="42">
        <f>A51*1</f>
        <v>2</v>
      </c>
      <c r="E54" s="42"/>
      <c r="F54" s="43"/>
      <c r="G54" s="11"/>
      <c r="H54" s="97" t="s">
        <v>467</v>
      </c>
      <c r="I54" s="97" t="s">
        <v>467</v>
      </c>
      <c r="J54" s="97" t="s">
        <v>467</v>
      </c>
      <c r="K54" s="11"/>
      <c r="L54" s="43"/>
    </row>
    <row r="55" spans="1:12" ht="19.95" customHeight="1" x14ac:dyDescent="0.35">
      <c r="B55" s="38" t="s">
        <v>36</v>
      </c>
      <c r="C55" s="42">
        <f>D54</f>
        <v>2</v>
      </c>
      <c r="D55" s="41"/>
      <c r="E55" s="42"/>
      <c r="F55" s="43"/>
      <c r="G55" s="11"/>
      <c r="H55" s="97" t="s">
        <v>467</v>
      </c>
      <c r="I55" s="97" t="s">
        <v>467</v>
      </c>
      <c r="J55" s="97" t="s">
        <v>467</v>
      </c>
      <c r="K55" s="11"/>
      <c r="L55" s="43"/>
    </row>
    <row r="56" spans="1:12" s="24" customFormat="1" ht="19.95" customHeight="1" x14ac:dyDescent="0.25">
      <c r="A56" s="17"/>
      <c r="B56" s="38"/>
      <c r="C56" s="42"/>
      <c r="D56" s="41"/>
      <c r="E56" s="42"/>
      <c r="F56" s="43"/>
      <c r="G56" s="11"/>
      <c r="H56" s="11"/>
      <c r="I56" s="11"/>
      <c r="J56" s="11"/>
      <c r="K56" s="11"/>
      <c r="L56" s="43"/>
    </row>
    <row r="57" spans="1:12" s="24" customFormat="1" ht="19.95" customHeight="1" x14ac:dyDescent="0.25">
      <c r="A57" s="13">
        <v>3</v>
      </c>
      <c r="B57" s="14" t="s">
        <v>37</v>
      </c>
      <c r="C57" s="7"/>
      <c r="D57" s="8"/>
      <c r="E57" s="9"/>
      <c r="F57" s="10"/>
      <c r="G57" s="11"/>
      <c r="H57" s="11"/>
      <c r="I57" s="11"/>
      <c r="J57" s="11"/>
      <c r="K57" s="11"/>
      <c r="L57" s="10"/>
    </row>
    <row r="58" spans="1:12" s="24" customFormat="1" ht="19.95" customHeight="1" x14ac:dyDescent="0.25">
      <c r="A58" s="16"/>
      <c r="B58" s="14"/>
      <c r="C58" s="7"/>
      <c r="D58" s="8"/>
      <c r="E58" s="9"/>
      <c r="F58" s="10"/>
      <c r="G58" s="11"/>
      <c r="H58" s="11"/>
      <c r="I58" s="11"/>
      <c r="J58" s="11"/>
      <c r="K58" s="11"/>
      <c r="L58" s="10"/>
    </row>
    <row r="59" spans="1:12" s="24" customFormat="1" ht="19.95" customHeight="1" x14ac:dyDescent="0.25">
      <c r="A59" s="17"/>
      <c r="B59" s="38" t="s">
        <v>38</v>
      </c>
      <c r="C59" s="40">
        <f>A57</f>
        <v>3</v>
      </c>
      <c r="D59" s="41"/>
      <c r="E59" s="42"/>
      <c r="F59" s="43"/>
      <c r="G59" s="11"/>
      <c r="H59" s="97" t="s">
        <v>467</v>
      </c>
      <c r="I59" s="97" t="s">
        <v>467</v>
      </c>
      <c r="J59" s="97" t="s">
        <v>467</v>
      </c>
      <c r="K59" s="11"/>
      <c r="L59" s="43"/>
    </row>
    <row r="60" spans="1:12" ht="19.95" customHeight="1" x14ac:dyDescent="0.35">
      <c r="B60" s="38" t="s">
        <v>39</v>
      </c>
      <c r="C60" s="40">
        <f>A57</f>
        <v>3</v>
      </c>
      <c r="D60" s="41"/>
      <c r="E60" s="42"/>
      <c r="F60" s="43"/>
      <c r="G60" s="11"/>
      <c r="H60" s="97" t="s">
        <v>467</v>
      </c>
      <c r="I60" s="97" t="s">
        <v>467</v>
      </c>
      <c r="J60" s="97" t="s">
        <v>467</v>
      </c>
      <c r="K60" s="11"/>
      <c r="L60" s="43"/>
    </row>
    <row r="61" spans="1:12" ht="19.95" customHeight="1" x14ac:dyDescent="0.35">
      <c r="C61" s="40"/>
      <c r="D61" s="41"/>
      <c r="E61" s="42"/>
      <c r="F61" s="43"/>
      <c r="G61" s="11"/>
      <c r="H61" s="11"/>
      <c r="I61" s="11"/>
      <c r="J61" s="11"/>
      <c r="K61" s="11"/>
      <c r="L61" s="43"/>
    </row>
    <row r="62" spans="1:12" customFormat="1" ht="19.95" customHeight="1" x14ac:dyDescent="0.25">
      <c r="A62" s="13">
        <v>1</v>
      </c>
      <c r="B62" s="14" t="s">
        <v>40</v>
      </c>
      <c r="C62" s="7"/>
      <c r="D62" s="8"/>
      <c r="E62" s="9"/>
      <c r="F62" s="10"/>
      <c r="G62" s="11"/>
      <c r="H62" s="11"/>
      <c r="I62" s="11"/>
      <c r="J62" s="11"/>
      <c r="K62" s="11"/>
      <c r="L62" s="10"/>
    </row>
    <row r="63" spans="1:12" customFormat="1" ht="19.95" customHeight="1" x14ac:dyDescent="0.25">
      <c r="A63" s="16"/>
      <c r="B63" s="14"/>
      <c r="C63" s="7"/>
      <c r="D63" s="8"/>
      <c r="E63" s="9"/>
      <c r="F63" s="10"/>
      <c r="G63" s="11"/>
      <c r="H63" s="11"/>
      <c r="I63" s="11"/>
      <c r="J63" s="11"/>
      <c r="K63" s="11"/>
      <c r="L63" s="10"/>
    </row>
    <row r="64" spans="1:12" customFormat="1" ht="19.95" customHeight="1" x14ac:dyDescent="0.25">
      <c r="A64" s="17"/>
      <c r="B64" s="38" t="s">
        <v>41</v>
      </c>
      <c r="C64" s="40">
        <v>1</v>
      </c>
      <c r="D64" s="41"/>
      <c r="E64" s="42"/>
      <c r="F64" s="43"/>
      <c r="G64" s="11"/>
      <c r="H64" s="97" t="s">
        <v>467</v>
      </c>
      <c r="I64" s="97" t="s">
        <v>467</v>
      </c>
      <c r="J64" s="97" t="s">
        <v>467</v>
      </c>
      <c r="K64" s="11"/>
      <c r="L64" s="43"/>
    </row>
    <row r="65" spans="1:12" ht="19.95" customHeight="1" x14ac:dyDescent="0.35">
      <c r="B65" s="38" t="s">
        <v>42</v>
      </c>
      <c r="C65" s="40">
        <v>1</v>
      </c>
      <c r="D65" s="41"/>
      <c r="E65" s="42"/>
      <c r="F65" s="43"/>
      <c r="G65" s="11"/>
      <c r="H65" s="97" t="s">
        <v>467</v>
      </c>
      <c r="I65" s="97" t="s">
        <v>467</v>
      </c>
      <c r="J65" s="97" t="s">
        <v>467</v>
      </c>
      <c r="K65" s="11"/>
      <c r="L65" s="43"/>
    </row>
    <row r="66" spans="1:12" ht="19.95" customHeight="1" x14ac:dyDescent="0.35">
      <c r="C66" s="40"/>
      <c r="D66" s="41"/>
      <c r="E66" s="42"/>
      <c r="F66" s="43"/>
      <c r="G66" s="11"/>
      <c r="H66" s="11"/>
      <c r="I66" s="11"/>
      <c r="J66" s="11"/>
      <c r="K66" s="11"/>
      <c r="L66" s="43"/>
    </row>
    <row r="67" spans="1:12" ht="19.95" customHeight="1" x14ac:dyDescent="0.35">
      <c r="A67" s="44"/>
      <c r="B67" s="45" t="s">
        <v>10</v>
      </c>
      <c r="C67" s="46">
        <f>SUM(C41:C66)</f>
        <v>19</v>
      </c>
      <c r="D67" s="46">
        <f>SUM(D41:D66)</f>
        <v>5</v>
      </c>
      <c r="E67" s="46">
        <f>SUM(E41:E66)</f>
        <v>20</v>
      </c>
      <c r="F67" s="46">
        <f>SUM(F41:F66)</f>
        <v>3</v>
      </c>
      <c r="G67" s="46">
        <f>SUM(G41:G66)</f>
        <v>0</v>
      </c>
      <c r="H67" s="46"/>
      <c r="I67" s="46"/>
      <c r="J67" s="46"/>
      <c r="K67" s="46"/>
      <c r="L67" s="46"/>
    </row>
    <row r="68" spans="1:12" s="24" customFormat="1" ht="13.2" customHeight="1" x14ac:dyDescent="0.25">
      <c r="A68" s="16"/>
      <c r="B68" s="28"/>
      <c r="C68" s="49"/>
      <c r="D68" s="49"/>
      <c r="E68" s="50"/>
      <c r="F68" s="49"/>
      <c r="G68" s="49"/>
      <c r="H68" s="49"/>
      <c r="I68" s="49"/>
      <c r="J68" s="49"/>
      <c r="K68" s="49"/>
      <c r="L68" s="49"/>
    </row>
    <row r="69" spans="1:12" s="33" customFormat="1" ht="40.799999999999997" customHeight="1" x14ac:dyDescent="0.25">
      <c r="A69" s="36" t="s">
        <v>11</v>
      </c>
      <c r="B69" s="2" t="s">
        <v>1</v>
      </c>
      <c r="C69" s="90" t="s">
        <v>2</v>
      </c>
      <c r="D69" s="90"/>
      <c r="E69" s="90"/>
      <c r="F69" s="90"/>
      <c r="G69" s="90"/>
      <c r="H69" s="95"/>
      <c r="I69" s="95"/>
      <c r="J69" s="95"/>
      <c r="K69" s="95"/>
    </row>
    <row r="70" spans="1:12" s="24" customFormat="1" ht="123" customHeight="1" x14ac:dyDescent="0.25">
      <c r="A70" s="1"/>
      <c r="B70" s="6" t="s">
        <v>44</v>
      </c>
      <c r="C70" s="7" t="s">
        <v>4</v>
      </c>
      <c r="D70" s="8" t="s">
        <v>5</v>
      </c>
      <c r="E70" s="9" t="s">
        <v>6</v>
      </c>
      <c r="F70" s="10" t="s">
        <v>7</v>
      </c>
      <c r="G70" s="11" t="s">
        <v>8</v>
      </c>
      <c r="H70" s="11"/>
      <c r="I70" s="11"/>
      <c r="J70" s="11"/>
      <c r="K70" s="11"/>
      <c r="L70" s="10"/>
    </row>
    <row r="71" spans="1:12" customFormat="1" ht="19.95" customHeight="1" x14ac:dyDescent="0.25">
      <c r="A71" s="13">
        <v>1</v>
      </c>
      <c r="B71" s="14" t="s">
        <v>40</v>
      </c>
      <c r="C71" s="7"/>
      <c r="D71" s="8"/>
      <c r="E71" s="9"/>
      <c r="F71" s="10"/>
      <c r="G71" s="11"/>
      <c r="H71" s="11"/>
      <c r="I71" s="11"/>
      <c r="J71" s="11"/>
      <c r="K71" s="11"/>
      <c r="L71" s="10"/>
    </row>
    <row r="72" spans="1:12" customFormat="1" ht="19.95" customHeight="1" x14ac:dyDescent="0.25">
      <c r="A72" s="16"/>
      <c r="B72" s="14"/>
      <c r="C72" s="7"/>
      <c r="D72" s="8"/>
      <c r="E72" s="9"/>
      <c r="F72" s="10"/>
      <c r="G72" s="11"/>
      <c r="H72" s="11"/>
      <c r="I72" s="11"/>
      <c r="J72" s="11"/>
      <c r="K72" s="11"/>
      <c r="L72" s="10"/>
    </row>
    <row r="73" spans="1:12" s="12" customFormat="1" ht="19.95" customHeight="1" x14ac:dyDescent="0.3">
      <c r="A73" s="17"/>
      <c r="B73" s="38" t="s">
        <v>41</v>
      </c>
      <c r="C73" s="40">
        <v>1</v>
      </c>
      <c r="D73" s="41"/>
      <c r="E73" s="42"/>
      <c r="F73" s="43"/>
      <c r="G73" s="97" t="s">
        <v>467</v>
      </c>
      <c r="H73" s="97" t="s">
        <v>467</v>
      </c>
      <c r="I73" s="97" t="s">
        <v>467</v>
      </c>
      <c r="J73" s="23"/>
      <c r="K73" s="23"/>
      <c r="L73" s="43"/>
    </row>
    <row r="74" spans="1:12" ht="19.95" customHeight="1" x14ac:dyDescent="0.35">
      <c r="B74" s="38" t="s">
        <v>42</v>
      </c>
      <c r="C74" s="40">
        <v>1</v>
      </c>
      <c r="D74" s="41"/>
      <c r="E74" s="42"/>
      <c r="F74" s="43"/>
      <c r="G74" s="97" t="s">
        <v>467</v>
      </c>
      <c r="H74" s="97" t="s">
        <v>467</v>
      </c>
      <c r="I74" s="97" t="s">
        <v>467</v>
      </c>
      <c r="J74" s="23"/>
      <c r="K74" s="23"/>
      <c r="L74" s="43"/>
    </row>
    <row r="75" spans="1:12" ht="19.95" customHeight="1" x14ac:dyDescent="0.35">
      <c r="A75" s="16"/>
      <c r="B75" s="28"/>
      <c r="C75" s="16"/>
      <c r="D75" s="29"/>
      <c r="E75" s="30"/>
      <c r="F75" s="31"/>
      <c r="G75" s="32"/>
      <c r="H75" s="32"/>
      <c r="I75" s="32"/>
      <c r="J75" s="32"/>
      <c r="K75" s="32"/>
      <c r="L75" s="31"/>
    </row>
    <row r="76" spans="1:12" ht="19.95" customHeight="1" x14ac:dyDescent="0.35">
      <c r="A76" s="13">
        <v>1</v>
      </c>
      <c r="B76" s="14" t="s">
        <v>45</v>
      </c>
      <c r="C76" s="7"/>
      <c r="D76" s="8"/>
      <c r="E76" s="9"/>
      <c r="F76" s="10"/>
      <c r="G76" s="11"/>
      <c r="H76" s="11"/>
      <c r="I76" s="11"/>
      <c r="J76" s="11"/>
      <c r="K76" s="11"/>
      <c r="L76" s="10"/>
    </row>
    <row r="77" spans="1:12" s="24" customFormat="1" ht="19.95" customHeight="1" x14ac:dyDescent="0.25">
      <c r="A77" s="16"/>
      <c r="B77" s="14"/>
      <c r="C77" s="7"/>
      <c r="D77" s="8"/>
      <c r="E77" s="9"/>
      <c r="F77" s="10"/>
      <c r="G77" s="11"/>
      <c r="H77" s="11"/>
      <c r="I77" s="11"/>
      <c r="J77" s="11"/>
      <c r="K77" s="11"/>
      <c r="L77" s="10"/>
    </row>
    <row r="78" spans="1:12" s="33" customFormat="1" ht="19.95" customHeight="1" x14ac:dyDescent="0.25">
      <c r="A78" s="17"/>
      <c r="B78" s="38" t="s">
        <v>41</v>
      </c>
      <c r="C78" s="40">
        <v>1</v>
      </c>
      <c r="D78" s="41"/>
      <c r="E78" s="42"/>
      <c r="F78" s="43"/>
      <c r="G78" s="23"/>
      <c r="H78" s="23"/>
      <c r="I78" s="23"/>
      <c r="J78" s="23"/>
      <c r="K78" s="23"/>
      <c r="L78" s="43"/>
    </row>
    <row r="79" spans="1:12" ht="19.95" customHeight="1" x14ac:dyDescent="0.35">
      <c r="B79" s="38" t="s">
        <v>46</v>
      </c>
      <c r="C79" s="40">
        <v>1</v>
      </c>
      <c r="D79" s="41"/>
      <c r="E79" s="42"/>
      <c r="F79" s="43"/>
      <c r="G79" s="23"/>
      <c r="H79" s="23"/>
      <c r="I79" s="23"/>
      <c r="J79" s="23"/>
      <c r="K79" s="23"/>
      <c r="L79" s="43"/>
    </row>
    <row r="80" spans="1:12" ht="19.95" customHeight="1" x14ac:dyDescent="0.35">
      <c r="A80" s="16"/>
      <c r="B80" s="28"/>
      <c r="C80" s="16"/>
      <c r="D80" s="29"/>
      <c r="E80" s="30"/>
      <c r="F80" s="31"/>
      <c r="G80" s="32"/>
      <c r="H80" s="32"/>
      <c r="I80" s="32"/>
      <c r="J80" s="32"/>
      <c r="K80" s="32"/>
      <c r="L80" s="31"/>
    </row>
    <row r="81" spans="1:12" s="24" customFormat="1" ht="19.95" customHeight="1" x14ac:dyDescent="0.25">
      <c r="A81" s="13">
        <v>6</v>
      </c>
      <c r="B81" s="14" t="s">
        <v>261</v>
      </c>
      <c r="C81" s="7"/>
      <c r="D81" s="8"/>
      <c r="E81" s="9"/>
      <c r="F81" s="10"/>
      <c r="G81" s="11"/>
      <c r="H81" s="11"/>
      <c r="I81" s="11"/>
      <c r="J81" s="11"/>
      <c r="K81" s="11"/>
      <c r="L81" s="10"/>
    </row>
    <row r="82" spans="1:12" s="24" customFormat="1" ht="19.95" customHeight="1" x14ac:dyDescent="0.25">
      <c r="A82" s="16"/>
      <c r="B82" s="14"/>
      <c r="C82" s="7"/>
      <c r="D82" s="8"/>
      <c r="E82" s="9"/>
      <c r="F82" s="10"/>
      <c r="G82" s="11"/>
      <c r="H82" s="11"/>
      <c r="I82" s="11"/>
      <c r="J82" s="11"/>
      <c r="K82" s="11"/>
      <c r="L82" s="10"/>
    </row>
    <row r="83" spans="1:12" s="33" customFormat="1" ht="19.95" customHeight="1" x14ac:dyDescent="0.25">
      <c r="A83" s="17"/>
      <c r="B83" s="38" t="s">
        <v>41</v>
      </c>
      <c r="C83" s="40">
        <f>A81</f>
        <v>6</v>
      </c>
      <c r="D83" s="41"/>
      <c r="E83" s="42"/>
      <c r="F83" s="43"/>
      <c r="G83" s="23"/>
      <c r="H83" s="23"/>
      <c r="I83" s="23"/>
      <c r="J83" s="23"/>
      <c r="K83" s="23"/>
      <c r="L83" s="43"/>
    </row>
    <row r="84" spans="1:12" ht="19.95" customHeight="1" x14ac:dyDescent="0.35">
      <c r="C84" s="40"/>
      <c r="D84" s="41"/>
      <c r="E84" s="42"/>
      <c r="F84" s="43"/>
      <c r="G84" s="23"/>
      <c r="H84" s="23"/>
      <c r="I84" s="23"/>
      <c r="J84" s="23"/>
      <c r="K84" s="23"/>
      <c r="L84" s="43"/>
    </row>
    <row r="85" spans="1:12" ht="19.95" customHeight="1" x14ac:dyDescent="0.35">
      <c r="A85" s="13">
        <v>1</v>
      </c>
      <c r="B85" s="14" t="s">
        <v>32</v>
      </c>
      <c r="C85" s="7"/>
      <c r="D85" s="8"/>
      <c r="E85" s="9"/>
      <c r="F85" s="10"/>
      <c r="G85" s="11"/>
      <c r="H85" s="11"/>
      <c r="I85" s="11"/>
      <c r="J85" s="11"/>
      <c r="K85" s="11"/>
      <c r="L85" s="10"/>
    </row>
    <row r="86" spans="1:12" s="24" customFormat="1" ht="19.95" customHeight="1" x14ac:dyDescent="0.25">
      <c r="A86" s="16"/>
      <c r="B86" s="14" t="s">
        <v>47</v>
      </c>
      <c r="C86" s="7"/>
      <c r="D86" s="8"/>
      <c r="E86" s="9"/>
      <c r="F86" s="10"/>
      <c r="G86" s="11"/>
      <c r="H86" s="11"/>
      <c r="I86" s="11"/>
      <c r="J86" s="11"/>
      <c r="K86" s="11"/>
      <c r="L86" s="10"/>
    </row>
    <row r="87" spans="1:12" s="33" customFormat="1" ht="19.95" customHeight="1" x14ac:dyDescent="0.25">
      <c r="A87" s="17"/>
      <c r="B87" s="38" t="s">
        <v>34</v>
      </c>
      <c r="C87" s="40"/>
      <c r="D87" s="41"/>
      <c r="E87" s="42">
        <v>1</v>
      </c>
      <c r="F87" s="43"/>
      <c r="G87" s="23"/>
      <c r="H87" s="23"/>
      <c r="I87" s="23"/>
      <c r="J87" s="23"/>
      <c r="K87" s="23"/>
      <c r="L87" s="43"/>
    </row>
    <row r="88" spans="1:12" ht="19.95" customHeight="1" x14ac:dyDescent="0.35">
      <c r="B88" s="38" t="s">
        <v>35</v>
      </c>
      <c r="C88" s="40"/>
      <c r="D88" s="41">
        <v>1</v>
      </c>
      <c r="E88" s="42"/>
      <c r="F88" s="43"/>
      <c r="G88" s="23"/>
      <c r="H88" s="23"/>
      <c r="I88" s="23"/>
      <c r="J88" s="23"/>
      <c r="K88" s="23"/>
      <c r="L88" s="43"/>
    </row>
    <row r="89" spans="1:12" ht="19.95" customHeight="1" x14ac:dyDescent="0.35">
      <c r="B89" s="38" t="s">
        <v>36</v>
      </c>
      <c r="C89" s="40">
        <v>1</v>
      </c>
      <c r="D89" s="41"/>
      <c r="E89" s="42"/>
      <c r="F89" s="43"/>
      <c r="G89" s="23"/>
      <c r="H89" s="23"/>
      <c r="I89" s="23"/>
      <c r="J89" s="23"/>
      <c r="K89" s="23"/>
      <c r="L89" s="43"/>
    </row>
    <row r="90" spans="1:12" s="24" customFormat="1" ht="19.95" customHeight="1" x14ac:dyDescent="0.25">
      <c r="A90" s="16"/>
      <c r="B90" s="28"/>
      <c r="C90" s="16"/>
      <c r="D90" s="29"/>
      <c r="E90" s="30"/>
      <c r="F90" s="31"/>
      <c r="G90" s="32"/>
      <c r="H90" s="32"/>
      <c r="I90" s="32"/>
      <c r="J90" s="32"/>
      <c r="K90" s="32"/>
      <c r="L90" s="31"/>
    </row>
    <row r="91" spans="1:12" s="24" customFormat="1" ht="19.95" customHeight="1" x14ac:dyDescent="0.25">
      <c r="A91" s="13">
        <v>1</v>
      </c>
      <c r="B91" s="14" t="s">
        <v>25</v>
      </c>
      <c r="C91" s="7"/>
      <c r="D91" s="8"/>
      <c r="E91" s="9"/>
      <c r="F91" s="10"/>
      <c r="G91" s="11"/>
      <c r="H91" s="11"/>
      <c r="I91" s="11"/>
      <c r="J91" s="11"/>
      <c r="K91" s="11"/>
      <c r="L91" s="10"/>
    </row>
    <row r="92" spans="1:12" s="24" customFormat="1" ht="19.95" customHeight="1" x14ac:dyDescent="0.25">
      <c r="A92" s="16"/>
      <c r="B92" s="14" t="s">
        <v>48</v>
      </c>
      <c r="C92" s="7"/>
      <c r="D92" s="8"/>
      <c r="E92" s="9"/>
      <c r="F92" s="10"/>
      <c r="G92" s="11"/>
      <c r="H92" s="11"/>
      <c r="I92" s="11"/>
      <c r="J92" s="11"/>
      <c r="K92" s="11"/>
      <c r="L92" s="10"/>
    </row>
    <row r="93" spans="1:12" s="33" customFormat="1" ht="19.95" customHeight="1" x14ac:dyDescent="0.25">
      <c r="A93" s="17"/>
      <c r="B93" s="38" t="s">
        <v>26</v>
      </c>
      <c r="C93" s="40">
        <v>1</v>
      </c>
      <c r="D93" s="41"/>
      <c r="E93" s="42"/>
      <c r="F93" s="43"/>
      <c r="G93" s="23"/>
      <c r="H93" s="23"/>
      <c r="I93" s="23"/>
      <c r="J93" s="23"/>
      <c r="K93" s="23"/>
      <c r="L93" s="43"/>
    </row>
    <row r="94" spans="1:12" ht="19.95" customHeight="1" x14ac:dyDescent="0.35">
      <c r="B94" s="38" t="s">
        <v>27</v>
      </c>
      <c r="C94" s="40">
        <v>1</v>
      </c>
      <c r="D94" s="41"/>
      <c r="E94" s="42"/>
      <c r="F94" s="43"/>
      <c r="G94" s="23"/>
      <c r="H94" s="23"/>
      <c r="I94" s="23"/>
      <c r="J94" s="23"/>
      <c r="K94" s="23"/>
      <c r="L94" s="43"/>
    </row>
    <row r="95" spans="1:12" ht="19.95" customHeight="1" x14ac:dyDescent="0.35">
      <c r="A95" s="16"/>
      <c r="B95" s="28"/>
      <c r="C95" s="16"/>
      <c r="D95" s="29"/>
      <c r="E95" s="30"/>
      <c r="F95" s="31"/>
      <c r="G95" s="32"/>
      <c r="H95" s="32"/>
      <c r="I95" s="32"/>
      <c r="J95" s="32"/>
      <c r="K95" s="32"/>
      <c r="L95" s="31"/>
    </row>
    <row r="96" spans="1:12" ht="19.95" customHeight="1" x14ac:dyDescent="0.35">
      <c r="A96" s="44"/>
      <c r="B96" s="45" t="s">
        <v>10</v>
      </c>
      <c r="C96" s="46">
        <f>SUM(C73:C95)</f>
        <v>13</v>
      </c>
      <c r="D96" s="46">
        <f>SUM(D73:D95)</f>
        <v>1</v>
      </c>
      <c r="E96" s="46">
        <f>SUM(E73:E95)</f>
        <v>1</v>
      </c>
      <c r="F96" s="46">
        <f>SUM(F73:F95)</f>
        <v>0</v>
      </c>
      <c r="G96" s="46">
        <f>SUM(G73:G95)</f>
        <v>0</v>
      </c>
      <c r="H96" s="46"/>
      <c r="I96" s="46"/>
      <c r="J96" s="46"/>
      <c r="K96" s="46"/>
      <c r="L96" s="46"/>
    </row>
    <row r="97" spans="1:12" s="24" customFormat="1" ht="13.2" customHeight="1" x14ac:dyDescent="0.25">
      <c r="A97" s="16"/>
      <c r="B97" s="28"/>
      <c r="C97" s="49"/>
      <c r="D97" s="49"/>
      <c r="E97" s="50"/>
      <c r="F97" s="49"/>
      <c r="G97" s="49"/>
      <c r="H97" s="49"/>
      <c r="I97" s="49"/>
      <c r="J97" s="49"/>
      <c r="K97" s="49"/>
      <c r="L97" s="49"/>
    </row>
    <row r="98" spans="1:12" s="33" customFormat="1" ht="42.6" customHeight="1" x14ac:dyDescent="0.25">
      <c r="A98" s="36" t="s">
        <v>11</v>
      </c>
      <c r="B98" s="2" t="s">
        <v>1</v>
      </c>
      <c r="C98" s="90" t="s">
        <v>2</v>
      </c>
      <c r="D98" s="90"/>
      <c r="E98" s="90"/>
      <c r="F98" s="90"/>
      <c r="G98" s="90"/>
      <c r="H98" s="95"/>
      <c r="I98" s="95"/>
      <c r="J98" s="95"/>
      <c r="K98" s="95"/>
    </row>
    <row r="99" spans="1:12" s="24" customFormat="1" ht="96.6" customHeight="1" x14ac:dyDescent="0.25">
      <c r="A99" s="1"/>
      <c r="B99" s="6" t="s">
        <v>49</v>
      </c>
      <c r="C99" s="98" t="s">
        <v>469</v>
      </c>
      <c r="D99" s="41" t="s">
        <v>470</v>
      </c>
      <c r="E99" s="42" t="s">
        <v>471</v>
      </c>
      <c r="F99" s="42" t="s">
        <v>472</v>
      </c>
      <c r="G99" s="99" t="s">
        <v>473</v>
      </c>
      <c r="H99" s="96" t="s">
        <v>464</v>
      </c>
      <c r="I99" s="96" t="s">
        <v>465</v>
      </c>
      <c r="J99" s="96" t="s">
        <v>466</v>
      </c>
      <c r="K99" s="96" t="s">
        <v>468</v>
      </c>
      <c r="L99" s="10"/>
    </row>
    <row r="100" spans="1:12" customFormat="1" ht="19.95" customHeight="1" x14ac:dyDescent="0.25">
      <c r="A100" s="13">
        <v>1</v>
      </c>
      <c r="B100" s="14" t="s">
        <v>25</v>
      </c>
      <c r="C100" s="7"/>
      <c r="D100" s="8"/>
      <c r="E100" s="9"/>
      <c r="F100" s="10"/>
      <c r="G100" s="11"/>
      <c r="H100" s="11"/>
      <c r="I100" s="11"/>
      <c r="J100" s="11"/>
      <c r="K100" s="11"/>
      <c r="L100" s="10"/>
    </row>
    <row r="101" spans="1:12" s="24" customFormat="1" ht="19.95" customHeight="1" x14ac:dyDescent="0.25">
      <c r="A101" s="16"/>
      <c r="B101" s="14" t="s">
        <v>50</v>
      </c>
      <c r="C101" s="7"/>
      <c r="D101" s="8"/>
      <c r="E101" s="9"/>
      <c r="F101" s="10"/>
      <c r="G101" s="11"/>
      <c r="H101" s="11"/>
      <c r="I101" s="11"/>
      <c r="J101" s="11"/>
      <c r="K101" s="11"/>
      <c r="L101" s="10"/>
    </row>
    <row r="102" spans="1:12" s="12" customFormat="1" ht="19.95" customHeight="1" x14ac:dyDescent="0.3">
      <c r="A102" s="17"/>
      <c r="B102" s="38" t="s">
        <v>26</v>
      </c>
      <c r="C102" s="40">
        <f>1*A100</f>
        <v>1</v>
      </c>
      <c r="D102" s="41"/>
      <c r="E102" s="42"/>
      <c r="F102" s="43"/>
      <c r="G102" s="97" t="s">
        <v>467</v>
      </c>
      <c r="H102" s="97" t="s">
        <v>467</v>
      </c>
      <c r="I102" s="97" t="s">
        <v>467</v>
      </c>
      <c r="J102" s="97" t="s">
        <v>467</v>
      </c>
      <c r="K102" s="11"/>
      <c r="L102" s="43"/>
    </row>
    <row r="103" spans="1:12" ht="19.95" customHeight="1" x14ac:dyDescent="0.35">
      <c r="B103" s="38" t="s">
        <v>27</v>
      </c>
      <c r="C103" s="40">
        <f>1*A100</f>
        <v>1</v>
      </c>
      <c r="D103" s="41"/>
      <c r="E103" s="42"/>
      <c r="F103" s="43"/>
      <c r="G103" s="97" t="s">
        <v>467</v>
      </c>
      <c r="H103" s="97" t="s">
        <v>467</v>
      </c>
      <c r="I103" s="97" t="s">
        <v>467</v>
      </c>
      <c r="J103" s="97" t="s">
        <v>467</v>
      </c>
      <c r="K103" s="11"/>
      <c r="L103" s="43"/>
    </row>
    <row r="104" spans="1:12" ht="19.95" customHeight="1" x14ac:dyDescent="0.35">
      <c r="A104" s="16"/>
      <c r="B104" s="28"/>
      <c r="C104" s="16"/>
      <c r="D104" s="29"/>
      <c r="E104" s="30"/>
      <c r="F104" s="31"/>
      <c r="G104" s="32"/>
      <c r="H104" s="32"/>
      <c r="I104" s="32"/>
      <c r="J104" s="32"/>
      <c r="K104" s="11"/>
      <c r="L104" s="31"/>
    </row>
    <row r="105" spans="1:12" s="24" customFormat="1" ht="19.95" customHeight="1" x14ac:dyDescent="0.25">
      <c r="A105" s="13">
        <v>1</v>
      </c>
      <c r="B105" s="14" t="s">
        <v>29</v>
      </c>
      <c r="C105" s="7"/>
      <c r="D105" s="8"/>
      <c r="E105" s="9"/>
      <c r="F105" s="10"/>
      <c r="G105" s="11"/>
      <c r="H105" s="11"/>
      <c r="I105" s="11"/>
      <c r="J105" s="11"/>
      <c r="K105" s="11"/>
      <c r="L105" s="10"/>
    </row>
    <row r="106" spans="1:12" s="24" customFormat="1" ht="19.95" customHeight="1" x14ac:dyDescent="0.25">
      <c r="A106" s="16"/>
      <c r="B106" s="14" t="s">
        <v>51</v>
      </c>
      <c r="C106" s="7"/>
      <c r="D106" s="8"/>
      <c r="E106" s="9"/>
      <c r="F106" s="10"/>
      <c r="G106" s="11"/>
      <c r="H106" s="11"/>
      <c r="I106" s="11"/>
      <c r="J106" s="11"/>
      <c r="K106" s="11"/>
      <c r="L106" s="10"/>
    </row>
    <row r="107" spans="1:12" s="33" customFormat="1" ht="19.95" customHeight="1" x14ac:dyDescent="0.25">
      <c r="A107" s="17"/>
      <c r="B107" s="38" t="s">
        <v>26</v>
      </c>
      <c r="C107" s="40">
        <f>1*A105</f>
        <v>1</v>
      </c>
      <c r="D107" s="41"/>
      <c r="E107" s="42"/>
      <c r="F107" s="43"/>
      <c r="G107" s="97" t="s">
        <v>467</v>
      </c>
      <c r="H107" s="97" t="s">
        <v>467</v>
      </c>
      <c r="I107" s="97" t="s">
        <v>467</v>
      </c>
      <c r="J107" s="97" t="s">
        <v>467</v>
      </c>
      <c r="K107" s="11"/>
      <c r="L107" s="43"/>
    </row>
    <row r="108" spans="1:12" s="33" customFormat="1" ht="19.95" customHeight="1" x14ac:dyDescent="0.25">
      <c r="A108" s="17"/>
      <c r="B108" s="38" t="s">
        <v>27</v>
      </c>
      <c r="C108" s="40">
        <f>1*A105</f>
        <v>1</v>
      </c>
      <c r="D108" s="41"/>
      <c r="E108" s="42"/>
      <c r="F108" s="43"/>
      <c r="G108" s="97" t="s">
        <v>467</v>
      </c>
      <c r="H108" s="97" t="s">
        <v>467</v>
      </c>
      <c r="I108" s="97" t="s">
        <v>467</v>
      </c>
      <c r="J108" s="97" t="s">
        <v>467</v>
      </c>
      <c r="K108" s="11"/>
      <c r="L108" s="43"/>
    </row>
    <row r="109" spans="1:12" s="33" customFormat="1" ht="19.95" customHeight="1" x14ac:dyDescent="0.25">
      <c r="A109" s="16"/>
      <c r="B109" s="28"/>
      <c r="C109" s="16"/>
      <c r="D109" s="29"/>
      <c r="E109" s="30"/>
      <c r="F109" s="31"/>
      <c r="G109" s="32"/>
      <c r="H109" s="32"/>
      <c r="I109" s="32"/>
      <c r="J109" s="32"/>
      <c r="K109" s="11"/>
      <c r="L109" s="31"/>
    </row>
    <row r="110" spans="1:12" s="33" customFormat="1" ht="19.95" customHeight="1" x14ac:dyDescent="0.25">
      <c r="A110" s="13">
        <v>1</v>
      </c>
      <c r="B110" s="14" t="s">
        <v>25</v>
      </c>
      <c r="C110" s="7"/>
      <c r="D110" s="8"/>
      <c r="E110" s="9"/>
      <c r="F110" s="10"/>
      <c r="G110" s="11"/>
      <c r="H110" s="11"/>
      <c r="I110" s="11"/>
      <c r="J110" s="11"/>
      <c r="K110" s="11"/>
      <c r="L110" s="10"/>
    </row>
    <row r="111" spans="1:12" s="33" customFormat="1" ht="19.95" customHeight="1" x14ac:dyDescent="0.25">
      <c r="A111" s="16"/>
      <c r="B111" s="14" t="s">
        <v>263</v>
      </c>
      <c r="C111" s="7"/>
      <c r="D111" s="8"/>
      <c r="E111" s="9"/>
      <c r="F111" s="10"/>
      <c r="G111" s="11"/>
      <c r="H111" s="11"/>
      <c r="I111" s="11"/>
      <c r="J111" s="11"/>
      <c r="K111" s="11"/>
      <c r="L111" s="10"/>
    </row>
    <row r="112" spans="1:12" s="33" customFormat="1" ht="19.95" customHeight="1" x14ac:dyDescent="0.25">
      <c r="A112" s="17"/>
      <c r="B112" s="38" t="s">
        <v>26</v>
      </c>
      <c r="C112" s="40">
        <f>1*A110</f>
        <v>1</v>
      </c>
      <c r="D112" s="41"/>
      <c r="E112" s="42"/>
      <c r="F112" s="43"/>
      <c r="G112" s="97" t="s">
        <v>467</v>
      </c>
      <c r="H112" s="97" t="s">
        <v>467</v>
      </c>
      <c r="I112" s="97" t="s">
        <v>467</v>
      </c>
      <c r="J112" s="97" t="s">
        <v>467</v>
      </c>
      <c r="K112" s="11"/>
      <c r="L112" s="43"/>
    </row>
    <row r="113" spans="1:12" s="33" customFormat="1" ht="19.95" customHeight="1" x14ac:dyDescent="0.25">
      <c r="A113" s="17"/>
      <c r="B113" s="38" t="s">
        <v>27</v>
      </c>
      <c r="C113" s="40">
        <f>1*A110</f>
        <v>1</v>
      </c>
      <c r="D113" s="41"/>
      <c r="E113" s="42"/>
      <c r="F113" s="43"/>
      <c r="G113" s="97" t="s">
        <v>467</v>
      </c>
      <c r="H113" s="97" t="s">
        <v>467</v>
      </c>
      <c r="I113" s="97" t="s">
        <v>467</v>
      </c>
      <c r="J113" s="97" t="s">
        <v>467</v>
      </c>
      <c r="K113" s="11"/>
      <c r="L113" s="43"/>
    </row>
    <row r="114" spans="1:12" s="33" customFormat="1" ht="19.95" customHeight="1" x14ac:dyDescent="0.25">
      <c r="A114" s="17"/>
      <c r="B114" s="38"/>
      <c r="C114" s="40"/>
      <c r="D114" s="41"/>
      <c r="E114" s="42"/>
      <c r="F114" s="43"/>
      <c r="G114" s="11"/>
      <c r="H114" s="11"/>
      <c r="I114" s="11"/>
      <c r="J114" s="11"/>
      <c r="K114" s="11"/>
      <c r="L114" s="43"/>
    </row>
    <row r="115" spans="1:12" ht="19.95" customHeight="1" x14ac:dyDescent="0.35">
      <c r="A115" s="13">
        <v>1</v>
      </c>
      <c r="B115" s="14" t="s">
        <v>52</v>
      </c>
      <c r="C115" s="7"/>
      <c r="D115" s="8"/>
      <c r="E115" s="9"/>
      <c r="F115" s="10"/>
      <c r="G115" s="11"/>
      <c r="H115" s="11"/>
      <c r="I115" s="11"/>
      <c r="J115" s="11"/>
      <c r="K115" s="11"/>
      <c r="L115" s="10"/>
    </row>
    <row r="116" spans="1:12" s="24" customFormat="1" ht="19.95" customHeight="1" x14ac:dyDescent="0.25">
      <c r="A116" s="16"/>
      <c r="B116" s="14"/>
      <c r="C116" s="7"/>
      <c r="D116" s="8"/>
      <c r="E116" s="9"/>
      <c r="F116" s="10"/>
      <c r="G116" s="11"/>
      <c r="H116" s="11"/>
      <c r="I116" s="11"/>
      <c r="J116" s="11"/>
      <c r="K116" s="11"/>
      <c r="L116" s="10"/>
    </row>
    <row r="117" spans="1:12" s="24" customFormat="1" ht="19.95" customHeight="1" x14ac:dyDescent="0.25">
      <c r="A117" s="17"/>
      <c r="B117" s="38" t="s">
        <v>53</v>
      </c>
      <c r="C117" s="40">
        <v>1</v>
      </c>
      <c r="D117" s="41"/>
      <c r="E117" s="42"/>
      <c r="F117" s="43"/>
      <c r="G117" s="97" t="s">
        <v>467</v>
      </c>
      <c r="H117" s="97" t="s">
        <v>467</v>
      </c>
      <c r="I117" s="97" t="s">
        <v>467</v>
      </c>
      <c r="J117" s="97" t="s">
        <v>467</v>
      </c>
      <c r="K117" s="11"/>
      <c r="L117" s="43"/>
    </row>
    <row r="118" spans="1:12" s="24" customFormat="1" ht="19.95" customHeight="1" x14ac:dyDescent="0.25">
      <c r="A118" s="17"/>
      <c r="B118" s="38" t="s">
        <v>54</v>
      </c>
      <c r="C118" s="40">
        <v>1</v>
      </c>
      <c r="D118" s="41"/>
      <c r="E118" s="42"/>
      <c r="F118" s="43"/>
      <c r="G118" s="97" t="s">
        <v>467</v>
      </c>
      <c r="H118" s="97" t="s">
        <v>467</v>
      </c>
      <c r="I118" s="97" t="s">
        <v>467</v>
      </c>
      <c r="J118" s="97" t="s">
        <v>467</v>
      </c>
      <c r="K118" s="11"/>
      <c r="L118" s="43"/>
    </row>
    <row r="119" spans="1:12" s="24" customFormat="1" ht="19.95" customHeight="1" x14ac:dyDescent="0.25">
      <c r="A119" s="17"/>
      <c r="B119" s="38" t="s">
        <v>55</v>
      </c>
      <c r="C119" s="40">
        <v>1</v>
      </c>
      <c r="D119" s="41"/>
      <c r="E119" s="42"/>
      <c r="F119" s="43"/>
      <c r="G119" s="97" t="s">
        <v>467</v>
      </c>
      <c r="H119" s="97" t="s">
        <v>467</v>
      </c>
      <c r="I119" s="97" t="s">
        <v>467</v>
      </c>
      <c r="J119" s="97" t="s">
        <v>467</v>
      </c>
      <c r="K119" s="11"/>
      <c r="L119" s="43"/>
    </row>
    <row r="120" spans="1:12" s="24" customFormat="1" ht="19.95" customHeight="1" x14ac:dyDescent="0.25">
      <c r="A120" s="17"/>
      <c r="B120" s="38"/>
      <c r="C120" s="40"/>
      <c r="D120" s="41"/>
      <c r="E120" s="42"/>
      <c r="F120" s="43"/>
      <c r="G120" s="11"/>
      <c r="H120" s="11"/>
      <c r="I120" s="11"/>
      <c r="J120" s="11"/>
      <c r="K120" s="11"/>
      <c r="L120" s="43"/>
    </row>
    <row r="121" spans="1:12" s="24" customFormat="1" ht="19.95" customHeight="1" x14ac:dyDescent="0.25">
      <c r="A121" s="13">
        <v>3</v>
      </c>
      <c r="B121" s="14" t="s">
        <v>262</v>
      </c>
      <c r="C121" s="7"/>
      <c r="D121" s="8"/>
      <c r="E121" s="9"/>
      <c r="F121" s="10"/>
      <c r="G121" s="11"/>
      <c r="H121" s="11"/>
      <c r="I121" s="11"/>
      <c r="J121" s="11"/>
      <c r="K121" s="11"/>
      <c r="L121" s="10"/>
    </row>
    <row r="122" spans="1:12" s="24" customFormat="1" ht="19.95" customHeight="1" x14ac:dyDescent="0.25">
      <c r="A122" s="16"/>
      <c r="B122" s="14"/>
      <c r="C122" s="7"/>
      <c r="D122" s="8"/>
      <c r="E122" s="9"/>
      <c r="F122" s="10"/>
      <c r="G122" s="11"/>
      <c r="H122" s="11"/>
      <c r="I122" s="11"/>
      <c r="J122" s="11"/>
      <c r="K122" s="11"/>
      <c r="L122" s="10"/>
    </row>
    <row r="123" spans="1:12" s="24" customFormat="1" ht="19.95" customHeight="1" x14ac:dyDescent="0.25">
      <c r="A123" s="17"/>
      <c r="B123" s="38" t="s">
        <v>43</v>
      </c>
      <c r="C123" s="40">
        <f>1*A121</f>
        <v>3</v>
      </c>
      <c r="D123" s="41"/>
      <c r="E123" s="42"/>
      <c r="F123" s="43"/>
      <c r="G123" s="11"/>
      <c r="H123" s="11"/>
      <c r="I123" s="11"/>
      <c r="J123" s="11"/>
      <c r="K123" s="11"/>
      <c r="L123" s="43"/>
    </row>
    <row r="124" spans="1:12" s="24" customFormat="1" ht="19.95" customHeight="1" x14ac:dyDescent="0.25">
      <c r="A124" s="44"/>
      <c r="B124" s="45" t="s">
        <v>10</v>
      </c>
      <c r="C124" s="46">
        <f>SUM(C102:C123)</f>
        <v>12</v>
      </c>
      <c r="D124" s="46">
        <f>SUM(D102:D109)</f>
        <v>0</v>
      </c>
      <c r="E124" s="46">
        <f>SUM(E102:E109)</f>
        <v>0</v>
      </c>
      <c r="F124" s="46">
        <f>SUM(F102:F109)</f>
        <v>0</v>
      </c>
      <c r="G124" s="46">
        <f>SUM(G102:G109)</f>
        <v>0</v>
      </c>
      <c r="H124" s="46"/>
      <c r="I124" s="46"/>
      <c r="J124" s="46"/>
      <c r="K124" s="46"/>
      <c r="L124" s="46"/>
    </row>
    <row r="125" spans="1:12" s="33" customFormat="1" ht="12.6" customHeight="1" x14ac:dyDescent="0.25">
      <c r="A125" s="16"/>
      <c r="B125" s="28"/>
      <c r="C125" s="49"/>
      <c r="D125" s="49"/>
      <c r="E125" s="50"/>
      <c r="F125" s="49"/>
      <c r="G125" s="49"/>
      <c r="H125" s="49"/>
      <c r="I125" s="49"/>
      <c r="J125" s="49"/>
      <c r="K125" s="49"/>
      <c r="L125" s="49"/>
    </row>
    <row r="126" spans="1:12" s="24" customFormat="1" ht="42" customHeight="1" x14ac:dyDescent="0.25">
      <c r="A126" s="36" t="s">
        <v>56</v>
      </c>
      <c r="B126" s="2" t="s">
        <v>1</v>
      </c>
      <c r="C126" s="90" t="s">
        <v>2</v>
      </c>
      <c r="D126" s="90"/>
      <c r="E126" s="90"/>
      <c r="F126" s="90"/>
      <c r="G126" s="90"/>
      <c r="H126" s="95"/>
      <c r="I126" s="95"/>
      <c r="J126" s="95"/>
      <c r="K126" s="95"/>
    </row>
    <row r="127" spans="1:12" customFormat="1" ht="103.8" customHeight="1" x14ac:dyDescent="0.25">
      <c r="A127" s="1"/>
      <c r="B127" s="6" t="s">
        <v>57</v>
      </c>
      <c r="C127" s="98" t="s">
        <v>469</v>
      </c>
      <c r="D127" s="41" t="s">
        <v>470</v>
      </c>
      <c r="E127" s="42" t="s">
        <v>471</v>
      </c>
      <c r="F127" s="42" t="s">
        <v>472</v>
      </c>
      <c r="G127" s="99" t="s">
        <v>473</v>
      </c>
      <c r="H127" s="96" t="s">
        <v>464</v>
      </c>
      <c r="I127" s="96" t="s">
        <v>465</v>
      </c>
      <c r="J127" s="96" t="s">
        <v>466</v>
      </c>
      <c r="K127" s="96" t="s">
        <v>468</v>
      </c>
      <c r="L127" s="10"/>
    </row>
    <row r="128" spans="1:12" customFormat="1" ht="19.95" customHeight="1" x14ac:dyDescent="0.25">
      <c r="A128" s="13">
        <v>3</v>
      </c>
      <c r="B128" s="14" t="s">
        <v>25</v>
      </c>
      <c r="C128" s="7"/>
      <c r="D128" s="8"/>
      <c r="E128" s="9"/>
      <c r="F128" s="10"/>
      <c r="G128" s="11"/>
      <c r="H128" s="11"/>
      <c r="I128" s="11"/>
      <c r="J128" s="11"/>
      <c r="K128" s="11"/>
      <c r="L128" s="10"/>
    </row>
    <row r="129" spans="1:12" s="24" customFormat="1" ht="19.95" customHeight="1" x14ac:dyDescent="0.25">
      <c r="A129" s="16"/>
      <c r="B129" s="14" t="s">
        <v>265</v>
      </c>
      <c r="C129" s="7"/>
      <c r="D129" s="8"/>
      <c r="E129" s="9"/>
      <c r="F129" s="10"/>
      <c r="G129" s="11"/>
      <c r="H129" s="11"/>
      <c r="I129" s="11"/>
      <c r="J129" s="11"/>
      <c r="K129" s="11"/>
      <c r="L129" s="10"/>
    </row>
    <row r="130" spans="1:12" s="12" customFormat="1" ht="19.95" customHeight="1" x14ac:dyDescent="0.3">
      <c r="A130" s="17"/>
      <c r="B130" s="38" t="s">
        <v>26</v>
      </c>
      <c r="C130" s="40">
        <f>1*A128</f>
        <v>3</v>
      </c>
      <c r="D130" s="41"/>
      <c r="E130" s="42"/>
      <c r="F130" s="43"/>
      <c r="G130" s="97" t="s">
        <v>467</v>
      </c>
      <c r="H130" s="97" t="s">
        <v>467</v>
      </c>
      <c r="I130" s="97" t="s">
        <v>467</v>
      </c>
      <c r="J130" s="97" t="s">
        <v>467</v>
      </c>
      <c r="K130" s="11"/>
      <c r="L130" s="43"/>
    </row>
    <row r="131" spans="1:12" ht="19.95" customHeight="1" x14ac:dyDescent="0.35">
      <c r="B131" s="38" t="s">
        <v>27</v>
      </c>
      <c r="C131" s="40">
        <f>1*A128</f>
        <v>3</v>
      </c>
      <c r="D131" s="41"/>
      <c r="E131" s="42"/>
      <c r="F131" s="43"/>
      <c r="G131" s="97" t="s">
        <v>467</v>
      </c>
      <c r="H131" s="97" t="s">
        <v>467</v>
      </c>
      <c r="I131" s="97" t="s">
        <v>467</v>
      </c>
      <c r="J131" s="97" t="s">
        <v>467</v>
      </c>
      <c r="K131" s="11"/>
      <c r="L131" s="43"/>
    </row>
    <row r="132" spans="1:12" ht="19.95" customHeight="1" x14ac:dyDescent="0.35">
      <c r="A132" s="16"/>
      <c r="B132" s="28"/>
      <c r="C132" s="16"/>
      <c r="D132" s="29"/>
      <c r="E132" s="30"/>
      <c r="F132" s="31"/>
      <c r="G132" s="32"/>
      <c r="H132" s="32"/>
      <c r="I132" s="32"/>
      <c r="J132" s="32"/>
      <c r="K132" s="11"/>
      <c r="L132" s="31"/>
    </row>
    <row r="133" spans="1:12" ht="19.95" customHeight="1" x14ac:dyDescent="0.35">
      <c r="A133" s="13">
        <v>1</v>
      </c>
      <c r="B133" s="14" t="s">
        <v>29</v>
      </c>
      <c r="C133" s="7"/>
      <c r="D133" s="8"/>
      <c r="E133" s="9"/>
      <c r="F133" s="10"/>
      <c r="G133" s="11"/>
      <c r="H133" s="11"/>
      <c r="I133" s="11"/>
      <c r="J133" s="11"/>
      <c r="K133" s="11"/>
      <c r="L133" s="10"/>
    </row>
    <row r="134" spans="1:12" s="24" customFormat="1" ht="19.95" customHeight="1" x14ac:dyDescent="0.25">
      <c r="A134" s="16"/>
      <c r="B134" s="14" t="s">
        <v>58</v>
      </c>
      <c r="C134" s="7"/>
      <c r="D134" s="8"/>
      <c r="E134" s="9"/>
      <c r="F134" s="10"/>
      <c r="G134" s="11"/>
      <c r="H134" s="11"/>
      <c r="I134" s="11"/>
      <c r="J134" s="11"/>
      <c r="K134" s="11"/>
      <c r="L134" s="10"/>
    </row>
    <row r="135" spans="1:12" s="33" customFormat="1" ht="19.95" customHeight="1" x14ac:dyDescent="0.25">
      <c r="A135" s="17"/>
      <c r="B135" s="38" t="s">
        <v>26</v>
      </c>
      <c r="C135" s="40">
        <v>1</v>
      </c>
      <c r="D135" s="41"/>
      <c r="E135" s="42"/>
      <c r="F135" s="43"/>
      <c r="G135" s="97" t="s">
        <v>467</v>
      </c>
      <c r="H135" s="97" t="s">
        <v>467</v>
      </c>
      <c r="I135" s="97" t="s">
        <v>467</v>
      </c>
      <c r="J135" s="97" t="s">
        <v>467</v>
      </c>
      <c r="K135" s="11"/>
      <c r="L135" s="43"/>
    </row>
    <row r="136" spans="1:12" ht="19.95" customHeight="1" x14ac:dyDescent="0.35">
      <c r="B136" s="38" t="s">
        <v>27</v>
      </c>
      <c r="C136" s="40">
        <v>1</v>
      </c>
      <c r="D136" s="41"/>
      <c r="E136" s="42"/>
      <c r="F136" s="43"/>
      <c r="G136" s="97" t="s">
        <v>467</v>
      </c>
      <c r="H136" s="97" t="s">
        <v>467</v>
      </c>
      <c r="I136" s="97" t="s">
        <v>467</v>
      </c>
      <c r="J136" s="97" t="s">
        <v>467</v>
      </c>
      <c r="K136" s="11"/>
      <c r="L136" s="43"/>
    </row>
    <row r="137" spans="1:12" ht="19.95" customHeight="1" x14ac:dyDescent="0.35">
      <c r="A137" s="16"/>
      <c r="B137" s="28"/>
      <c r="C137" s="16"/>
      <c r="D137" s="29"/>
      <c r="E137" s="30"/>
      <c r="F137" s="31"/>
      <c r="G137" s="32"/>
      <c r="H137" s="32"/>
      <c r="I137" s="32"/>
      <c r="J137" s="32"/>
      <c r="K137" s="11"/>
      <c r="L137" s="31"/>
    </row>
    <row r="138" spans="1:12" s="24" customFormat="1" ht="19.95" customHeight="1" x14ac:dyDescent="0.25">
      <c r="A138" s="13">
        <v>1</v>
      </c>
      <c r="B138" s="14" t="s">
        <v>59</v>
      </c>
      <c r="C138" s="7"/>
      <c r="D138" s="8"/>
      <c r="E138" s="9"/>
      <c r="F138" s="10"/>
      <c r="G138" s="11"/>
      <c r="H138" s="11"/>
      <c r="I138" s="11"/>
      <c r="J138" s="11"/>
      <c r="K138" s="11"/>
      <c r="L138" s="10"/>
    </row>
    <row r="139" spans="1:12" s="24" customFormat="1" ht="19.95" customHeight="1" x14ac:dyDescent="0.25">
      <c r="A139" s="16"/>
      <c r="B139" s="14" t="s">
        <v>60</v>
      </c>
      <c r="C139" s="7"/>
      <c r="D139" s="8"/>
      <c r="E139" s="9"/>
      <c r="F139" s="10"/>
      <c r="G139" s="11"/>
      <c r="H139" s="11"/>
      <c r="I139" s="11"/>
      <c r="J139" s="11"/>
      <c r="K139" s="11"/>
      <c r="L139" s="10"/>
    </row>
    <row r="140" spans="1:12" s="33" customFormat="1" ht="19.95" customHeight="1" x14ac:dyDescent="0.25">
      <c r="A140" s="17"/>
      <c r="B140" s="38" t="s">
        <v>26</v>
      </c>
      <c r="C140" s="40">
        <v>1</v>
      </c>
      <c r="D140" s="41"/>
      <c r="E140" s="42"/>
      <c r="F140" s="43"/>
      <c r="G140" s="97" t="s">
        <v>467</v>
      </c>
      <c r="H140" s="97" t="s">
        <v>467</v>
      </c>
      <c r="I140" s="97" t="s">
        <v>467</v>
      </c>
      <c r="J140" s="97" t="s">
        <v>467</v>
      </c>
      <c r="K140" s="11"/>
      <c r="L140" s="43"/>
    </row>
    <row r="141" spans="1:12" ht="19.95" customHeight="1" x14ac:dyDescent="0.35">
      <c r="B141" s="38" t="s">
        <v>27</v>
      </c>
      <c r="C141" s="40">
        <v>1</v>
      </c>
      <c r="D141" s="41"/>
      <c r="E141" s="42"/>
      <c r="F141" s="43"/>
      <c r="G141" s="97" t="s">
        <v>467</v>
      </c>
      <c r="H141" s="97" t="s">
        <v>467</v>
      </c>
      <c r="I141" s="97" t="s">
        <v>467</v>
      </c>
      <c r="J141" s="97" t="s">
        <v>467</v>
      </c>
      <c r="K141" s="11"/>
      <c r="L141" s="43"/>
    </row>
    <row r="142" spans="1:12" ht="19.95" customHeight="1" x14ac:dyDescent="0.35">
      <c r="A142" s="16"/>
      <c r="B142" s="28"/>
      <c r="C142" s="16"/>
      <c r="D142" s="29"/>
      <c r="E142" s="30"/>
      <c r="F142" s="31"/>
      <c r="G142" s="32"/>
      <c r="H142" s="32"/>
      <c r="I142" s="32"/>
      <c r="J142" s="32"/>
      <c r="K142" s="11"/>
      <c r="L142" s="31"/>
    </row>
    <row r="143" spans="1:12" s="24" customFormat="1" ht="19.95" customHeight="1" x14ac:dyDescent="0.25">
      <c r="A143" s="13">
        <v>1</v>
      </c>
      <c r="B143" s="14" t="s">
        <v>32</v>
      </c>
      <c r="C143" s="7"/>
      <c r="D143" s="8"/>
      <c r="E143" s="9"/>
      <c r="F143" s="10"/>
      <c r="G143" s="11"/>
      <c r="H143" s="11"/>
      <c r="I143" s="11"/>
      <c r="J143" s="11"/>
      <c r="K143" s="11"/>
      <c r="L143" s="10"/>
    </row>
    <row r="144" spans="1:12" s="24" customFormat="1" ht="19.95" customHeight="1" x14ac:dyDescent="0.25">
      <c r="A144" s="16"/>
      <c r="B144" s="14" t="s">
        <v>264</v>
      </c>
      <c r="C144" s="7"/>
      <c r="D144" s="8"/>
      <c r="E144" s="9"/>
      <c r="F144" s="10"/>
      <c r="G144" s="11"/>
      <c r="H144" s="11"/>
      <c r="I144" s="11"/>
      <c r="J144" s="11"/>
      <c r="K144" s="11"/>
      <c r="L144" s="10"/>
    </row>
    <row r="145" spans="1:12" s="33" customFormat="1" ht="19.95" customHeight="1" x14ac:dyDescent="0.25">
      <c r="A145" s="17"/>
      <c r="B145" s="38" t="s">
        <v>34</v>
      </c>
      <c r="C145" s="40"/>
      <c r="D145" s="41"/>
      <c r="E145" s="42">
        <f>1*A143</f>
        <v>1</v>
      </c>
      <c r="F145" s="43"/>
      <c r="G145" s="97" t="s">
        <v>467</v>
      </c>
      <c r="H145" s="97" t="s">
        <v>467</v>
      </c>
      <c r="I145" s="97" t="s">
        <v>467</v>
      </c>
      <c r="J145" s="97" t="s">
        <v>467</v>
      </c>
      <c r="K145" s="11"/>
      <c r="L145" s="43"/>
    </row>
    <row r="146" spans="1:12" ht="19.95" customHeight="1" x14ac:dyDescent="0.35">
      <c r="B146" s="38" t="s">
        <v>35</v>
      </c>
      <c r="C146" s="40"/>
      <c r="D146" s="41">
        <f>1*A143</f>
        <v>1</v>
      </c>
      <c r="E146" s="42"/>
      <c r="F146" s="43"/>
      <c r="G146" s="97" t="s">
        <v>467</v>
      </c>
      <c r="H146" s="97" t="s">
        <v>467</v>
      </c>
      <c r="I146" s="97" t="s">
        <v>467</v>
      </c>
      <c r="J146" s="97" t="s">
        <v>467</v>
      </c>
      <c r="K146" s="11"/>
      <c r="L146" s="43"/>
    </row>
    <row r="147" spans="1:12" ht="19.95" customHeight="1" x14ac:dyDescent="0.35">
      <c r="B147" s="38" t="s">
        <v>36</v>
      </c>
      <c r="C147" s="40">
        <f>1*A143</f>
        <v>1</v>
      </c>
      <c r="D147" s="41"/>
      <c r="E147" s="42"/>
      <c r="F147" s="43"/>
      <c r="G147" s="97" t="s">
        <v>467</v>
      </c>
      <c r="H147" s="97" t="s">
        <v>467</v>
      </c>
      <c r="I147" s="97" t="s">
        <v>467</v>
      </c>
      <c r="J147" s="97" t="s">
        <v>467</v>
      </c>
      <c r="K147" s="11"/>
      <c r="L147" s="43"/>
    </row>
    <row r="148" spans="1:12" s="24" customFormat="1" ht="19.95" customHeight="1" x14ac:dyDescent="0.25">
      <c r="A148" s="16"/>
      <c r="B148" s="28"/>
      <c r="C148" s="16"/>
      <c r="D148" s="29"/>
      <c r="E148" s="30"/>
      <c r="F148" s="31"/>
      <c r="G148" s="32"/>
      <c r="H148" s="32"/>
      <c r="I148" s="32"/>
      <c r="J148" s="32"/>
      <c r="K148" s="11"/>
      <c r="L148" s="31"/>
    </row>
    <row r="149" spans="1:12" s="24" customFormat="1" ht="19.95" customHeight="1" x14ac:dyDescent="0.25">
      <c r="A149" s="13">
        <v>1</v>
      </c>
      <c r="B149" s="14" t="s">
        <v>258</v>
      </c>
      <c r="C149" s="7"/>
      <c r="D149" s="8"/>
      <c r="E149" s="9"/>
      <c r="F149" s="10"/>
      <c r="G149" s="11"/>
      <c r="H149" s="11"/>
      <c r="I149" s="11"/>
      <c r="J149" s="11"/>
      <c r="K149" s="11"/>
      <c r="L149" s="10"/>
    </row>
    <row r="150" spans="1:12" s="24" customFormat="1" ht="19.95" customHeight="1" x14ac:dyDescent="0.25">
      <c r="A150" s="16"/>
      <c r="B150" s="14"/>
      <c r="C150" s="7"/>
      <c r="D150" s="8"/>
      <c r="E150" s="9"/>
      <c r="F150" s="10"/>
      <c r="G150" s="11"/>
      <c r="H150" s="11"/>
      <c r="I150" s="11"/>
      <c r="J150" s="11"/>
      <c r="K150" s="11"/>
      <c r="L150" s="10"/>
    </row>
    <row r="151" spans="1:12" s="33" customFormat="1" ht="19.95" customHeight="1" x14ac:dyDescent="0.25">
      <c r="A151" s="17"/>
      <c r="B151" s="38" t="s">
        <v>28</v>
      </c>
      <c r="C151" s="40">
        <v>1</v>
      </c>
      <c r="D151" s="41"/>
      <c r="E151" s="42"/>
      <c r="F151" s="43"/>
      <c r="G151" s="97" t="s">
        <v>467</v>
      </c>
      <c r="H151" s="97" t="s">
        <v>467</v>
      </c>
      <c r="I151" s="97" t="s">
        <v>467</v>
      </c>
      <c r="J151" s="97" t="s">
        <v>467</v>
      </c>
      <c r="K151" s="11"/>
      <c r="L151" s="43"/>
    </row>
    <row r="152" spans="1:12" ht="19.95" customHeight="1" x14ac:dyDescent="0.35">
      <c r="A152" s="16"/>
      <c r="B152" s="28"/>
      <c r="C152" s="16"/>
      <c r="D152" s="29"/>
      <c r="E152" s="30"/>
      <c r="F152" s="31"/>
      <c r="G152" s="32"/>
      <c r="H152" s="32"/>
      <c r="I152" s="32"/>
      <c r="J152" s="32"/>
      <c r="K152" s="11"/>
      <c r="L152" s="31"/>
    </row>
    <row r="153" spans="1:12" ht="19.95" customHeight="1" x14ac:dyDescent="0.35">
      <c r="A153" s="13">
        <v>2</v>
      </c>
      <c r="B153" s="14" t="s">
        <v>61</v>
      </c>
      <c r="C153" s="7"/>
      <c r="D153" s="8"/>
      <c r="E153" s="9"/>
      <c r="F153" s="10"/>
      <c r="G153" s="11"/>
      <c r="H153" s="11"/>
      <c r="I153" s="11"/>
      <c r="J153" s="11"/>
      <c r="K153" s="11"/>
      <c r="L153" s="10"/>
    </row>
    <row r="154" spans="1:12" s="24" customFormat="1" ht="19.95" customHeight="1" x14ac:dyDescent="0.25">
      <c r="A154" s="16"/>
      <c r="B154" s="14"/>
      <c r="C154" s="7"/>
      <c r="D154" s="8"/>
      <c r="E154" s="9"/>
      <c r="F154" s="10"/>
      <c r="G154" s="11"/>
      <c r="H154" s="11"/>
      <c r="I154" s="11"/>
      <c r="J154" s="11"/>
      <c r="K154" s="11"/>
      <c r="L154" s="10"/>
    </row>
    <row r="155" spans="1:12" s="33" customFormat="1" ht="19.95" customHeight="1" x14ac:dyDescent="0.25">
      <c r="A155" s="17"/>
      <c r="B155" s="38" t="s">
        <v>46</v>
      </c>
      <c r="C155" s="40">
        <f>1*A153</f>
        <v>2</v>
      </c>
      <c r="D155" s="41"/>
      <c r="E155" s="42"/>
      <c r="F155" s="43"/>
      <c r="G155" s="97" t="s">
        <v>467</v>
      </c>
      <c r="H155" s="97" t="s">
        <v>467</v>
      </c>
      <c r="I155" s="97" t="s">
        <v>467</v>
      </c>
      <c r="J155" s="97" t="s">
        <v>467</v>
      </c>
      <c r="K155" s="11"/>
      <c r="L155" s="43"/>
    </row>
    <row r="156" spans="1:12" ht="19.95" customHeight="1" x14ac:dyDescent="0.35">
      <c r="A156" s="52"/>
      <c r="B156" s="38" t="s">
        <v>41</v>
      </c>
      <c r="C156" s="40">
        <f>1*A153</f>
        <v>2</v>
      </c>
      <c r="D156" s="41"/>
      <c r="E156" s="42"/>
      <c r="F156" s="43"/>
      <c r="G156" s="97" t="s">
        <v>467</v>
      </c>
      <c r="H156" s="97" t="s">
        <v>467</v>
      </c>
      <c r="I156" s="97" t="s">
        <v>467</v>
      </c>
      <c r="J156" s="97" t="s">
        <v>467</v>
      </c>
      <c r="K156" s="11"/>
      <c r="L156" s="43"/>
    </row>
    <row r="157" spans="1:12" ht="19.95" customHeight="1" x14ac:dyDescent="0.35">
      <c r="A157" s="52"/>
      <c r="C157" s="40"/>
      <c r="D157" s="41"/>
      <c r="E157" s="42"/>
      <c r="F157" s="43"/>
      <c r="G157" s="97" t="s">
        <v>467</v>
      </c>
      <c r="H157" s="97" t="s">
        <v>467</v>
      </c>
      <c r="I157" s="97" t="s">
        <v>467</v>
      </c>
      <c r="J157" s="97" t="s">
        <v>467</v>
      </c>
      <c r="K157" s="11"/>
      <c r="L157" s="43"/>
    </row>
    <row r="158" spans="1:12" s="24" customFormat="1" ht="19.95" customHeight="1" x14ac:dyDescent="0.25">
      <c r="A158" s="13">
        <v>1</v>
      </c>
      <c r="B158" s="14" t="s">
        <v>62</v>
      </c>
      <c r="C158" s="7"/>
      <c r="D158" s="8"/>
      <c r="E158" s="9"/>
      <c r="F158" s="10"/>
      <c r="G158" s="11"/>
      <c r="H158" s="11"/>
      <c r="I158" s="11"/>
      <c r="J158" s="11"/>
      <c r="K158" s="11"/>
      <c r="L158" s="10"/>
    </row>
    <row r="159" spans="1:12" s="24" customFormat="1" ht="19.95" customHeight="1" x14ac:dyDescent="0.25">
      <c r="A159" s="16"/>
      <c r="B159" s="14"/>
      <c r="C159" s="7"/>
      <c r="D159" s="8"/>
      <c r="E159" s="9"/>
      <c r="F159" s="10"/>
      <c r="G159" s="11"/>
      <c r="H159" s="11"/>
      <c r="I159" s="11"/>
      <c r="J159" s="11"/>
      <c r="K159" s="11"/>
      <c r="L159" s="10"/>
    </row>
    <row r="160" spans="1:12" s="24" customFormat="1" ht="19.95" customHeight="1" x14ac:dyDescent="0.25">
      <c r="A160" s="17"/>
      <c r="B160" s="38" t="s">
        <v>53</v>
      </c>
      <c r="C160" s="40">
        <v>1</v>
      </c>
      <c r="D160" s="41"/>
      <c r="E160" s="42"/>
      <c r="F160" s="43"/>
      <c r="G160" s="97" t="s">
        <v>467</v>
      </c>
      <c r="H160" s="97" t="s">
        <v>467</v>
      </c>
      <c r="I160" s="97" t="s">
        <v>467</v>
      </c>
      <c r="J160" s="97" t="s">
        <v>467</v>
      </c>
      <c r="K160" s="11"/>
      <c r="L160" s="43"/>
    </row>
    <row r="161" spans="1:12" s="24" customFormat="1" ht="19.95" customHeight="1" x14ac:dyDescent="0.25">
      <c r="A161" s="17"/>
      <c r="B161" s="38" t="s">
        <v>54</v>
      </c>
      <c r="C161" s="40">
        <v>1</v>
      </c>
      <c r="D161" s="41"/>
      <c r="E161" s="42"/>
      <c r="F161" s="43"/>
      <c r="G161" s="97" t="s">
        <v>467</v>
      </c>
      <c r="H161" s="97" t="s">
        <v>467</v>
      </c>
      <c r="I161" s="97" t="s">
        <v>467</v>
      </c>
      <c r="J161" s="97" t="s">
        <v>467</v>
      </c>
      <c r="K161" s="11"/>
      <c r="L161" s="43"/>
    </row>
    <row r="162" spans="1:12" s="24" customFormat="1" ht="19.95" customHeight="1" x14ac:dyDescent="0.25">
      <c r="A162" s="17"/>
      <c r="B162" s="38" t="s">
        <v>55</v>
      </c>
      <c r="C162" s="40">
        <v>1</v>
      </c>
      <c r="D162" s="41"/>
      <c r="E162" s="42"/>
      <c r="F162" s="43"/>
      <c r="G162" s="97" t="s">
        <v>467</v>
      </c>
      <c r="H162" s="97" t="s">
        <v>467</v>
      </c>
      <c r="I162" s="97" t="s">
        <v>467</v>
      </c>
      <c r="J162" s="97" t="s">
        <v>467</v>
      </c>
      <c r="K162" s="11"/>
      <c r="L162" s="43"/>
    </row>
    <row r="163" spans="1:12" s="24" customFormat="1" ht="19.95" customHeight="1" x14ac:dyDescent="0.25">
      <c r="A163" s="16"/>
      <c r="B163" s="28"/>
      <c r="C163" s="16"/>
      <c r="D163" s="29"/>
      <c r="E163" s="30"/>
      <c r="F163" s="31"/>
      <c r="G163" s="32"/>
      <c r="H163" s="32"/>
      <c r="I163" s="32"/>
      <c r="J163" s="32"/>
      <c r="K163" s="32"/>
      <c r="L163" s="31"/>
    </row>
    <row r="164" spans="1:12" s="24" customFormat="1" ht="19.95" customHeight="1" x14ac:dyDescent="0.25">
      <c r="A164" s="44"/>
      <c r="B164" s="45" t="s">
        <v>10</v>
      </c>
      <c r="C164" s="46">
        <f>SUM(C130:C163)</f>
        <v>19</v>
      </c>
      <c r="D164" s="46">
        <f>SUM(D130:D163)</f>
        <v>1</v>
      </c>
      <c r="E164" s="46">
        <f>SUM(E130:E163)</f>
        <v>1</v>
      </c>
      <c r="F164" s="46">
        <f>SUM(F130:F163)</f>
        <v>0</v>
      </c>
      <c r="G164" s="46">
        <f>SUM(G130:G163)</f>
        <v>0</v>
      </c>
      <c r="H164" s="46"/>
      <c r="I164" s="46"/>
      <c r="J164" s="46"/>
      <c r="K164" s="46"/>
      <c r="L164" s="46"/>
    </row>
    <row r="165" spans="1:12" s="24" customFormat="1" ht="19.95" customHeight="1" x14ac:dyDescent="0.25">
      <c r="A165" s="16"/>
      <c r="B165" s="28"/>
      <c r="C165" s="49"/>
      <c r="D165" s="20"/>
      <c r="E165" s="50"/>
      <c r="F165" s="49"/>
      <c r="G165" s="49"/>
      <c r="H165" s="49"/>
      <c r="I165" s="49"/>
      <c r="J165" s="49"/>
      <c r="K165" s="49"/>
      <c r="L165" s="49"/>
    </row>
    <row r="166" spans="1:12" s="24" customFormat="1" ht="19.95" customHeight="1" x14ac:dyDescent="0.25">
      <c r="A166" s="77" t="s">
        <v>56</v>
      </c>
      <c r="B166" s="2" t="s">
        <v>1</v>
      </c>
      <c r="C166" s="90" t="s">
        <v>2</v>
      </c>
      <c r="D166" s="90"/>
      <c r="E166" s="90"/>
      <c r="F166" s="90"/>
      <c r="G166" s="90"/>
      <c r="H166" s="100"/>
      <c r="I166" s="101"/>
      <c r="J166" s="101"/>
      <c r="K166" s="101"/>
      <c r="L166" s="102"/>
    </row>
    <row r="167" spans="1:12" s="24" customFormat="1" ht="90" customHeight="1" x14ac:dyDescent="0.25">
      <c r="A167" s="1"/>
      <c r="B167" s="6" t="s">
        <v>63</v>
      </c>
      <c r="C167" s="98" t="s">
        <v>469</v>
      </c>
      <c r="D167" s="41" t="s">
        <v>470</v>
      </c>
      <c r="E167" s="42" t="s">
        <v>471</v>
      </c>
      <c r="F167" s="42" t="s">
        <v>472</v>
      </c>
      <c r="G167" s="99" t="s">
        <v>473</v>
      </c>
      <c r="H167" s="96" t="s">
        <v>464</v>
      </c>
      <c r="I167" s="96" t="s">
        <v>465</v>
      </c>
      <c r="J167" s="96" t="s">
        <v>466</v>
      </c>
      <c r="K167" s="96" t="s">
        <v>468</v>
      </c>
      <c r="L167" s="10"/>
    </row>
    <row r="168" spans="1:12" customFormat="1" ht="19.95" customHeight="1" x14ac:dyDescent="0.25">
      <c r="A168" s="13">
        <v>3</v>
      </c>
      <c r="B168" s="14" t="s">
        <v>25</v>
      </c>
      <c r="C168" s="7"/>
      <c r="D168" s="8"/>
      <c r="E168" s="9"/>
      <c r="F168" s="10"/>
      <c r="G168" s="10"/>
      <c r="H168" s="10"/>
      <c r="I168" s="10"/>
      <c r="J168" s="10"/>
      <c r="K168" s="10"/>
      <c r="L168" s="10"/>
    </row>
    <row r="169" spans="1:12" s="24" customFormat="1" ht="19.95" customHeight="1" x14ac:dyDescent="0.25">
      <c r="A169" s="16"/>
      <c r="B169" s="14" t="s">
        <v>64</v>
      </c>
      <c r="C169" s="7"/>
      <c r="D169" s="8"/>
      <c r="E169" s="9"/>
      <c r="F169" s="10"/>
      <c r="G169" s="10"/>
      <c r="I169" s="10"/>
      <c r="J169" s="10"/>
      <c r="K169" s="10"/>
      <c r="L169" s="10"/>
    </row>
    <row r="170" spans="1:12" s="12" customFormat="1" ht="19.95" customHeight="1" x14ac:dyDescent="0.3">
      <c r="A170" s="17"/>
      <c r="B170" s="38" t="s">
        <v>26</v>
      </c>
      <c r="C170" s="40">
        <f>1*A168</f>
        <v>3</v>
      </c>
      <c r="D170" s="41"/>
      <c r="E170" s="42"/>
      <c r="F170" s="43"/>
      <c r="G170" s="10"/>
      <c r="H170" s="97" t="s">
        <v>467</v>
      </c>
      <c r="I170" s="97" t="s">
        <v>467</v>
      </c>
      <c r="J170" s="97" t="s">
        <v>467</v>
      </c>
      <c r="K170" s="10"/>
      <c r="L170" s="43"/>
    </row>
    <row r="171" spans="1:12" ht="19.95" customHeight="1" x14ac:dyDescent="0.35">
      <c r="B171" s="38" t="s">
        <v>27</v>
      </c>
      <c r="C171" s="40">
        <f>1*A168</f>
        <v>3</v>
      </c>
      <c r="D171" s="41"/>
      <c r="E171" s="42"/>
      <c r="F171" s="43"/>
      <c r="G171" s="10"/>
      <c r="H171" s="97" t="s">
        <v>467</v>
      </c>
      <c r="I171" s="97" t="s">
        <v>467</v>
      </c>
      <c r="J171" s="97" t="s">
        <v>467</v>
      </c>
      <c r="K171" s="10"/>
      <c r="L171" s="43"/>
    </row>
    <row r="172" spans="1:12" ht="19.95" customHeight="1" x14ac:dyDescent="0.35">
      <c r="A172" s="16"/>
      <c r="B172" s="28"/>
      <c r="C172" s="16"/>
      <c r="D172" s="29"/>
      <c r="E172" s="30"/>
      <c r="F172" s="31"/>
      <c r="G172" s="10"/>
      <c r="H172" s="10"/>
      <c r="I172" s="10"/>
      <c r="J172" s="10"/>
      <c r="K172" s="10"/>
      <c r="L172" s="31"/>
    </row>
    <row r="173" spans="1:12" s="24" customFormat="1" ht="19.95" customHeight="1" x14ac:dyDescent="0.25">
      <c r="A173" s="13">
        <v>1</v>
      </c>
      <c r="B173" s="14" t="s">
        <v>29</v>
      </c>
      <c r="C173" s="7"/>
      <c r="D173" s="8"/>
      <c r="E173" s="9"/>
      <c r="F173" s="10"/>
      <c r="G173" s="10"/>
      <c r="H173" s="10"/>
      <c r="I173" s="10"/>
      <c r="J173" s="10"/>
      <c r="K173" s="10"/>
      <c r="L173" s="10"/>
    </row>
    <row r="174" spans="1:12" s="24" customFormat="1" ht="19.95" customHeight="1" x14ac:dyDescent="0.25">
      <c r="A174" s="16"/>
      <c r="B174" s="14" t="s">
        <v>65</v>
      </c>
      <c r="C174" s="7"/>
      <c r="D174" s="8"/>
      <c r="E174" s="9"/>
      <c r="F174" s="10"/>
      <c r="G174" s="10"/>
      <c r="H174" s="10"/>
      <c r="I174" s="10"/>
      <c r="J174" s="10"/>
      <c r="K174" s="10"/>
      <c r="L174" s="10"/>
    </row>
    <row r="175" spans="1:12" s="33" customFormat="1" ht="19.95" customHeight="1" x14ac:dyDescent="0.25">
      <c r="A175" s="17"/>
      <c r="B175" s="38" t="s">
        <v>26</v>
      </c>
      <c r="C175" s="40">
        <v>1</v>
      </c>
      <c r="D175" s="41"/>
      <c r="E175" s="42"/>
      <c r="F175" s="43"/>
      <c r="G175" s="10"/>
      <c r="H175" s="97" t="s">
        <v>467</v>
      </c>
      <c r="I175" s="97" t="s">
        <v>467</v>
      </c>
      <c r="J175" s="97" t="s">
        <v>467</v>
      </c>
      <c r="K175" s="10"/>
      <c r="L175" s="43"/>
    </row>
    <row r="176" spans="1:12" ht="19.95" customHeight="1" x14ac:dyDescent="0.35">
      <c r="B176" s="38" t="s">
        <v>27</v>
      </c>
      <c r="C176" s="40">
        <v>1</v>
      </c>
      <c r="D176" s="41"/>
      <c r="E176" s="42"/>
      <c r="F176" s="43"/>
      <c r="G176" s="10"/>
      <c r="H176" s="97" t="s">
        <v>467</v>
      </c>
      <c r="I176" s="97" t="s">
        <v>467</v>
      </c>
      <c r="J176" s="97" t="s">
        <v>467</v>
      </c>
      <c r="K176" s="10"/>
      <c r="L176" s="43"/>
    </row>
    <row r="177" spans="1:12" ht="19.95" customHeight="1" x14ac:dyDescent="0.35">
      <c r="A177" s="16"/>
      <c r="B177" s="28"/>
      <c r="C177" s="16"/>
      <c r="D177" s="29"/>
      <c r="E177" s="30"/>
      <c r="F177" s="31"/>
      <c r="G177" s="10"/>
      <c r="H177" s="10"/>
      <c r="I177" s="10"/>
      <c r="J177" s="10"/>
      <c r="K177" s="10"/>
      <c r="L177" s="31"/>
    </row>
    <row r="178" spans="1:12" ht="19.95" customHeight="1" x14ac:dyDescent="0.35">
      <c r="A178" s="13">
        <v>1</v>
      </c>
      <c r="B178" s="14" t="s">
        <v>66</v>
      </c>
      <c r="C178" s="7"/>
      <c r="D178" s="8"/>
      <c r="E178" s="9"/>
      <c r="F178" s="10"/>
      <c r="G178" s="10"/>
      <c r="H178" s="10"/>
      <c r="I178" s="10"/>
      <c r="J178" s="10"/>
      <c r="K178" s="10"/>
      <c r="L178" s="10"/>
    </row>
    <row r="179" spans="1:12" s="24" customFormat="1" ht="19.95" customHeight="1" x14ac:dyDescent="0.25">
      <c r="A179" s="16"/>
      <c r="B179" s="14"/>
      <c r="C179" s="7"/>
      <c r="D179" s="8"/>
      <c r="E179" s="9"/>
      <c r="F179" s="10"/>
      <c r="G179" s="10"/>
      <c r="H179" s="10"/>
      <c r="I179" s="10"/>
      <c r="J179" s="10"/>
      <c r="K179" s="10"/>
      <c r="L179" s="10"/>
    </row>
    <row r="180" spans="1:12" s="24" customFormat="1" ht="19.95" customHeight="1" x14ac:dyDescent="0.25">
      <c r="A180" s="17"/>
      <c r="B180" s="38" t="s">
        <v>53</v>
      </c>
      <c r="C180" s="40">
        <v>1</v>
      </c>
      <c r="D180" s="41"/>
      <c r="E180" s="42"/>
      <c r="F180" s="43"/>
      <c r="G180" s="10"/>
      <c r="H180" s="97" t="s">
        <v>467</v>
      </c>
      <c r="I180" s="97" t="s">
        <v>467</v>
      </c>
      <c r="J180" s="97" t="s">
        <v>467</v>
      </c>
      <c r="K180" s="10"/>
      <c r="L180" s="43"/>
    </row>
    <row r="181" spans="1:12" s="24" customFormat="1" ht="19.95" customHeight="1" x14ac:dyDescent="0.25">
      <c r="A181" s="17"/>
      <c r="B181" s="38" t="s">
        <v>54</v>
      </c>
      <c r="C181" s="40">
        <v>1</v>
      </c>
      <c r="D181" s="41"/>
      <c r="E181" s="42"/>
      <c r="F181" s="43"/>
      <c r="G181" s="10"/>
      <c r="H181" s="97" t="s">
        <v>467</v>
      </c>
      <c r="I181" s="97" t="s">
        <v>467</v>
      </c>
      <c r="J181" s="97" t="s">
        <v>467</v>
      </c>
      <c r="K181" s="10"/>
      <c r="L181" s="43"/>
    </row>
    <row r="182" spans="1:12" s="24" customFormat="1" ht="18" customHeight="1" x14ac:dyDescent="0.25">
      <c r="A182" s="17"/>
      <c r="B182" s="38" t="s">
        <v>55</v>
      </c>
      <c r="C182" s="40">
        <v>1</v>
      </c>
      <c r="D182" s="41"/>
      <c r="E182" s="42"/>
      <c r="F182" s="43"/>
      <c r="G182" s="10"/>
      <c r="H182" s="97" t="s">
        <v>467</v>
      </c>
      <c r="I182" s="97" t="s">
        <v>467</v>
      </c>
      <c r="J182" s="97" t="s">
        <v>467</v>
      </c>
      <c r="K182" s="10"/>
      <c r="L182" s="43"/>
    </row>
    <row r="183" spans="1:12" s="24" customFormat="1" ht="18" customHeight="1" x14ac:dyDescent="0.25">
      <c r="A183" s="17"/>
      <c r="B183" s="38"/>
      <c r="C183" s="40"/>
      <c r="D183" s="41"/>
      <c r="E183" s="42"/>
      <c r="F183" s="43"/>
      <c r="G183" s="10"/>
      <c r="H183" s="10"/>
      <c r="I183" s="10"/>
      <c r="J183" s="10"/>
      <c r="K183" s="10"/>
      <c r="L183" s="43"/>
    </row>
    <row r="184" spans="1:12" s="24" customFormat="1" ht="18" customHeight="1" x14ac:dyDescent="0.25">
      <c r="A184" s="13">
        <v>1</v>
      </c>
      <c r="B184" s="14" t="s">
        <v>32</v>
      </c>
      <c r="C184" s="7"/>
      <c r="D184" s="8"/>
      <c r="E184" s="9"/>
      <c r="F184" s="10"/>
      <c r="G184" s="10"/>
      <c r="H184" s="10"/>
      <c r="I184" s="10"/>
      <c r="J184" s="10"/>
      <c r="K184" s="10"/>
      <c r="L184" s="10"/>
    </row>
    <row r="185" spans="1:12" s="24" customFormat="1" ht="18" customHeight="1" x14ac:dyDescent="0.25">
      <c r="A185" s="16"/>
      <c r="B185" s="14" t="s">
        <v>266</v>
      </c>
      <c r="C185" s="7"/>
      <c r="D185" s="8"/>
      <c r="E185" s="9"/>
      <c r="F185" s="10"/>
      <c r="G185" s="10"/>
      <c r="H185" s="10"/>
      <c r="I185" s="10"/>
      <c r="J185" s="10"/>
      <c r="K185" s="10"/>
      <c r="L185" s="10"/>
    </row>
    <row r="186" spans="1:12" s="24" customFormat="1" ht="18" customHeight="1" x14ac:dyDescent="0.25">
      <c r="A186" s="17"/>
      <c r="B186" s="38" t="s">
        <v>34</v>
      </c>
      <c r="C186" s="40"/>
      <c r="D186" s="41"/>
      <c r="E186" s="42">
        <f>1*A184</f>
        <v>1</v>
      </c>
      <c r="F186" s="43"/>
      <c r="G186" s="10"/>
      <c r="H186" s="97" t="s">
        <v>467</v>
      </c>
      <c r="I186" s="97" t="s">
        <v>467</v>
      </c>
      <c r="J186" s="97" t="s">
        <v>467</v>
      </c>
      <c r="K186" s="10"/>
      <c r="L186" s="43"/>
    </row>
    <row r="187" spans="1:12" s="24" customFormat="1" ht="18" customHeight="1" x14ac:dyDescent="0.25">
      <c r="A187" s="17"/>
      <c r="B187" s="38" t="s">
        <v>35</v>
      </c>
      <c r="C187" s="40"/>
      <c r="D187" s="41">
        <f>1*A184</f>
        <v>1</v>
      </c>
      <c r="E187" s="42"/>
      <c r="F187" s="43"/>
      <c r="G187" s="10"/>
      <c r="H187" s="97" t="s">
        <v>467</v>
      </c>
      <c r="I187" s="97" t="s">
        <v>467</v>
      </c>
      <c r="J187" s="97" t="s">
        <v>467</v>
      </c>
      <c r="K187" s="10"/>
      <c r="L187" s="43"/>
    </row>
    <row r="188" spans="1:12" s="24" customFormat="1" ht="19.95" customHeight="1" x14ac:dyDescent="0.25">
      <c r="A188" s="17"/>
      <c r="B188" s="38" t="s">
        <v>36</v>
      </c>
      <c r="C188" s="40">
        <f>1*A184</f>
        <v>1</v>
      </c>
      <c r="D188" s="41"/>
      <c r="E188" s="42"/>
      <c r="F188" s="43"/>
      <c r="G188" s="10"/>
      <c r="H188" s="97" t="s">
        <v>467</v>
      </c>
      <c r="I188" s="97" t="s">
        <v>467</v>
      </c>
      <c r="J188" s="97" t="s">
        <v>467</v>
      </c>
      <c r="K188" s="10"/>
      <c r="L188" s="43"/>
    </row>
    <row r="189" spans="1:12" s="24" customFormat="1" ht="19.95" customHeight="1" x14ac:dyDescent="0.25">
      <c r="A189" s="17"/>
      <c r="B189" s="38"/>
      <c r="C189" s="40"/>
      <c r="D189" s="41"/>
      <c r="E189" s="42"/>
      <c r="F189" s="43"/>
      <c r="G189" s="10"/>
      <c r="H189" s="10"/>
      <c r="I189" s="10"/>
      <c r="J189" s="10"/>
      <c r="K189" s="10"/>
      <c r="L189" s="43"/>
    </row>
    <row r="190" spans="1:12" s="24" customFormat="1" ht="19.95" customHeight="1" x14ac:dyDescent="0.25">
      <c r="A190" s="44"/>
      <c r="B190" s="45" t="s">
        <v>10</v>
      </c>
      <c r="C190" s="46">
        <f>SUM(C170:C188)</f>
        <v>12</v>
      </c>
      <c r="D190" s="46">
        <f>SUM(D170:D188)</f>
        <v>1</v>
      </c>
      <c r="E190" s="46">
        <f>SUM(E170:E188)</f>
        <v>1</v>
      </c>
      <c r="F190" s="46">
        <f>SUM(F170:F188)</f>
        <v>0</v>
      </c>
      <c r="G190" s="46">
        <f>SUM(G170:G188)</f>
        <v>0</v>
      </c>
      <c r="H190" s="46"/>
      <c r="I190" s="46"/>
      <c r="J190" s="46"/>
      <c r="K190" s="46"/>
      <c r="L190" s="46"/>
    </row>
    <row r="191" spans="1:12" s="24" customFormat="1" ht="19.95" customHeight="1" x14ac:dyDescent="0.25">
      <c r="A191" s="47"/>
      <c r="B191" s="48"/>
      <c r="C191" s="40"/>
      <c r="D191" s="40"/>
      <c r="E191" s="40"/>
      <c r="F191" s="40"/>
      <c r="G191" s="40"/>
      <c r="H191" s="40"/>
      <c r="I191" s="40"/>
      <c r="J191" s="40"/>
      <c r="K191" s="40"/>
      <c r="L191" s="40"/>
    </row>
    <row r="192" spans="1:12" s="33" customFormat="1" ht="19.95" customHeight="1" x14ac:dyDescent="0.25">
      <c r="A192" s="36" t="s">
        <v>11</v>
      </c>
      <c r="B192" s="2" t="s">
        <v>1</v>
      </c>
      <c r="C192" s="90" t="s">
        <v>2</v>
      </c>
      <c r="D192" s="90"/>
      <c r="E192" s="90"/>
      <c r="F192" s="90"/>
      <c r="G192" s="90"/>
      <c r="H192" s="100" t="s">
        <v>474</v>
      </c>
      <c r="I192" s="101"/>
      <c r="J192" s="101"/>
      <c r="K192" s="101"/>
      <c r="L192" s="102" t="s">
        <v>460</v>
      </c>
    </row>
    <row r="193" spans="1:12" s="24" customFormat="1" ht="50.4" customHeight="1" x14ac:dyDescent="0.25">
      <c r="A193" s="1"/>
      <c r="B193" s="6" t="s">
        <v>67</v>
      </c>
      <c r="C193" s="98" t="s">
        <v>469</v>
      </c>
      <c r="D193" s="41" t="s">
        <v>470</v>
      </c>
      <c r="E193" s="42" t="s">
        <v>471</v>
      </c>
      <c r="F193" s="42" t="s">
        <v>472</v>
      </c>
      <c r="G193" s="99" t="s">
        <v>473</v>
      </c>
      <c r="H193" s="96" t="s">
        <v>464</v>
      </c>
      <c r="I193" s="96" t="s">
        <v>465</v>
      </c>
      <c r="J193" s="96" t="s">
        <v>466</v>
      </c>
      <c r="K193" s="96" t="s">
        <v>468</v>
      </c>
      <c r="L193" s="10"/>
    </row>
    <row r="194" spans="1:12" s="24" customFormat="1" ht="19.95" customHeight="1" x14ac:dyDescent="0.25">
      <c r="A194" s="13">
        <v>3</v>
      </c>
      <c r="B194" s="14" t="s">
        <v>267</v>
      </c>
      <c r="C194" s="7"/>
      <c r="D194" s="8"/>
      <c r="E194" s="9"/>
      <c r="F194" s="10"/>
      <c r="G194" s="11"/>
      <c r="H194" s="11"/>
      <c r="I194" s="11"/>
      <c r="J194" s="11"/>
      <c r="K194" s="11"/>
      <c r="L194" s="10"/>
    </row>
    <row r="195" spans="1:12" s="24" customFormat="1" ht="19.95" customHeight="1" x14ac:dyDescent="0.25">
      <c r="A195" s="16"/>
      <c r="B195" s="14"/>
      <c r="C195" s="7"/>
      <c r="D195" s="8"/>
      <c r="E195" s="9"/>
      <c r="F195" s="10"/>
      <c r="G195" s="11"/>
      <c r="H195" s="11"/>
      <c r="I195" s="11"/>
      <c r="J195" s="11"/>
      <c r="K195" s="11"/>
      <c r="L195" s="10"/>
    </row>
    <row r="196" spans="1:12" s="12" customFormat="1" ht="19.95" customHeight="1" x14ac:dyDescent="0.3">
      <c r="A196" s="17"/>
      <c r="B196" s="38" t="s">
        <v>43</v>
      </c>
      <c r="C196" s="40">
        <f>1*A194</f>
        <v>3</v>
      </c>
      <c r="D196" s="41"/>
      <c r="E196" s="42"/>
      <c r="F196" s="43"/>
      <c r="G196" s="11"/>
      <c r="H196" s="97" t="s">
        <v>467</v>
      </c>
      <c r="I196" s="97" t="s">
        <v>467</v>
      </c>
      <c r="J196" s="97" t="s">
        <v>467</v>
      </c>
      <c r="K196" s="11"/>
      <c r="L196" s="43"/>
    </row>
    <row r="197" spans="1:12" ht="19.95" customHeight="1" x14ac:dyDescent="0.35">
      <c r="A197" s="13">
        <v>3</v>
      </c>
      <c r="B197" s="14" t="s">
        <v>25</v>
      </c>
      <c r="C197" s="7"/>
      <c r="D197" s="8"/>
      <c r="E197" s="9"/>
      <c r="F197" s="10"/>
      <c r="G197" s="11"/>
      <c r="H197" s="11"/>
      <c r="I197" s="11"/>
      <c r="J197" s="11"/>
      <c r="K197" s="11"/>
      <c r="L197" s="10"/>
    </row>
    <row r="198" spans="1:12" s="24" customFormat="1" ht="19.95" customHeight="1" x14ac:dyDescent="0.25">
      <c r="A198" s="16"/>
      <c r="B198" s="14" t="s">
        <v>268</v>
      </c>
      <c r="C198" s="7"/>
      <c r="D198" s="8"/>
      <c r="E198" s="9"/>
      <c r="F198" s="10"/>
      <c r="G198" s="11"/>
      <c r="H198" s="11"/>
      <c r="I198" s="11"/>
      <c r="J198" s="11"/>
      <c r="K198" s="11"/>
      <c r="L198" s="10"/>
    </row>
    <row r="199" spans="1:12" s="33" customFormat="1" ht="19.95" customHeight="1" x14ac:dyDescent="0.25">
      <c r="A199" s="17"/>
      <c r="B199" s="38" t="s">
        <v>26</v>
      </c>
      <c r="C199" s="40">
        <f>1*A197</f>
        <v>3</v>
      </c>
      <c r="D199" s="41"/>
      <c r="E199" s="42"/>
      <c r="F199" s="43"/>
      <c r="G199" s="11"/>
      <c r="H199" s="97" t="s">
        <v>467</v>
      </c>
      <c r="I199" s="97" t="s">
        <v>467</v>
      </c>
      <c r="J199" s="97" t="s">
        <v>467</v>
      </c>
      <c r="K199" s="11"/>
      <c r="L199" s="43"/>
    </row>
    <row r="200" spans="1:12" ht="19.95" customHeight="1" x14ac:dyDescent="0.35">
      <c r="B200" s="38" t="s">
        <v>27</v>
      </c>
      <c r="C200" s="40">
        <f>1*A197</f>
        <v>3</v>
      </c>
      <c r="D200" s="41"/>
      <c r="E200" s="42"/>
      <c r="F200" s="43"/>
      <c r="G200" s="11"/>
      <c r="H200" s="97" t="s">
        <v>467</v>
      </c>
      <c r="I200" s="97" t="s">
        <v>467</v>
      </c>
      <c r="J200" s="97" t="s">
        <v>467</v>
      </c>
      <c r="K200" s="11"/>
      <c r="L200" s="43"/>
    </row>
    <row r="201" spans="1:12" ht="19.95" customHeight="1" x14ac:dyDescent="0.35">
      <c r="C201" s="40"/>
      <c r="D201" s="41"/>
      <c r="E201" s="42"/>
      <c r="F201" s="43"/>
      <c r="G201" s="11"/>
      <c r="H201" s="11"/>
      <c r="I201" s="11"/>
      <c r="J201" s="11"/>
      <c r="K201" s="11"/>
      <c r="L201" s="43"/>
    </row>
    <row r="202" spans="1:12" s="24" customFormat="1" ht="19.95" customHeight="1" x14ac:dyDescent="0.25">
      <c r="A202" s="13">
        <v>1</v>
      </c>
      <c r="B202" s="14" t="s">
        <v>29</v>
      </c>
      <c r="C202" s="7"/>
      <c r="D202" s="8"/>
      <c r="E202" s="9"/>
      <c r="F202" s="10"/>
      <c r="G202" s="11"/>
      <c r="H202" s="11"/>
      <c r="I202" s="11"/>
      <c r="J202" s="11"/>
      <c r="K202" s="11"/>
      <c r="L202" s="10"/>
    </row>
    <row r="203" spans="1:12" s="24" customFormat="1" ht="19.95" customHeight="1" x14ac:dyDescent="0.25">
      <c r="A203" s="16"/>
      <c r="B203" s="14" t="s">
        <v>68</v>
      </c>
      <c r="C203" s="7"/>
      <c r="D203" s="8"/>
      <c r="E203" s="9"/>
      <c r="F203" s="10"/>
      <c r="G203" s="11"/>
      <c r="H203" s="11"/>
      <c r="I203" s="11"/>
      <c r="J203" s="11"/>
      <c r="K203" s="11"/>
      <c r="L203" s="10"/>
    </row>
    <row r="204" spans="1:12" s="24" customFormat="1" ht="19.95" customHeight="1" x14ac:dyDescent="0.25">
      <c r="A204" s="17"/>
      <c r="B204" s="38" t="s">
        <v>26</v>
      </c>
      <c r="C204" s="40">
        <f>1*A202</f>
        <v>1</v>
      </c>
      <c r="D204" s="41"/>
      <c r="E204" s="42"/>
      <c r="F204" s="43"/>
      <c r="G204" s="11"/>
      <c r="H204" s="97" t="s">
        <v>467</v>
      </c>
      <c r="I204" s="97" t="s">
        <v>467</v>
      </c>
      <c r="J204" s="97" t="s">
        <v>467</v>
      </c>
      <c r="K204" s="11"/>
      <c r="L204" s="43"/>
    </row>
    <row r="205" spans="1:12" s="24" customFormat="1" ht="19.95" customHeight="1" x14ac:dyDescent="0.25">
      <c r="A205" s="17"/>
      <c r="B205" s="38" t="s">
        <v>27</v>
      </c>
      <c r="C205" s="40">
        <f>1*A202</f>
        <v>1</v>
      </c>
      <c r="D205" s="41"/>
      <c r="E205" s="42"/>
      <c r="F205" s="43"/>
      <c r="G205" s="11"/>
      <c r="H205" s="97" t="s">
        <v>467</v>
      </c>
      <c r="I205" s="97" t="s">
        <v>467</v>
      </c>
      <c r="J205" s="97" t="s">
        <v>467</v>
      </c>
      <c r="K205" s="11"/>
      <c r="L205" s="43"/>
    </row>
    <row r="206" spans="1:12" s="24" customFormat="1" ht="19.95" customHeight="1" x14ac:dyDescent="0.25">
      <c r="A206" s="17"/>
      <c r="B206" s="38"/>
      <c r="C206" s="40"/>
      <c r="D206" s="41"/>
      <c r="E206" s="42"/>
      <c r="F206" s="43"/>
      <c r="G206" s="11"/>
      <c r="H206" s="11"/>
      <c r="I206" s="11"/>
      <c r="J206" s="11"/>
      <c r="K206" s="11"/>
      <c r="L206" s="43"/>
    </row>
    <row r="207" spans="1:12" s="24" customFormat="1" ht="19.95" customHeight="1" x14ac:dyDescent="0.25">
      <c r="A207" s="13">
        <v>1</v>
      </c>
      <c r="B207" s="14" t="s">
        <v>69</v>
      </c>
      <c r="C207" s="7"/>
      <c r="D207" s="8"/>
      <c r="E207" s="9"/>
      <c r="F207" s="10"/>
      <c r="G207" s="11"/>
      <c r="H207" s="11"/>
      <c r="I207" s="11"/>
      <c r="J207" s="11"/>
      <c r="K207" s="11"/>
      <c r="L207" s="10"/>
    </row>
    <row r="208" spans="1:12" s="24" customFormat="1" ht="19.95" customHeight="1" x14ac:dyDescent="0.25">
      <c r="A208" s="16"/>
      <c r="B208" s="14"/>
      <c r="C208" s="7"/>
      <c r="D208" s="8"/>
      <c r="E208" s="9"/>
      <c r="F208" s="10"/>
      <c r="G208" s="11"/>
      <c r="H208" s="11"/>
      <c r="I208" s="11"/>
      <c r="J208" s="11"/>
      <c r="K208" s="11"/>
      <c r="L208" s="10"/>
    </row>
    <row r="209" spans="1:12" s="24" customFormat="1" ht="19.95" customHeight="1" x14ac:dyDescent="0.25">
      <c r="A209" s="17"/>
      <c r="B209" s="38" t="s">
        <v>53</v>
      </c>
      <c r="C209" s="40">
        <v>1</v>
      </c>
      <c r="D209" s="41"/>
      <c r="E209" s="42"/>
      <c r="F209" s="43"/>
      <c r="G209" s="11"/>
      <c r="H209" s="97" t="s">
        <v>467</v>
      </c>
      <c r="I209" s="97" t="s">
        <v>467</v>
      </c>
      <c r="J209" s="97" t="s">
        <v>467</v>
      </c>
      <c r="K209" s="11"/>
      <c r="L209" s="43"/>
    </row>
    <row r="210" spans="1:12" s="24" customFormat="1" ht="19.95" customHeight="1" x14ac:dyDescent="0.25">
      <c r="A210" s="17"/>
      <c r="B210" s="38" t="s">
        <v>54</v>
      </c>
      <c r="C210" s="40">
        <v>1</v>
      </c>
      <c r="D210" s="41"/>
      <c r="E210" s="42"/>
      <c r="F210" s="43"/>
      <c r="G210" s="11"/>
      <c r="H210" s="97" t="s">
        <v>467</v>
      </c>
      <c r="I210" s="97" t="s">
        <v>467</v>
      </c>
      <c r="J210" s="97" t="s">
        <v>467</v>
      </c>
      <c r="K210" s="11"/>
      <c r="L210" s="43"/>
    </row>
    <row r="211" spans="1:12" s="24" customFormat="1" ht="19.95" customHeight="1" x14ac:dyDescent="0.25">
      <c r="A211" s="17"/>
      <c r="B211" s="38" t="s">
        <v>55</v>
      </c>
      <c r="C211" s="40">
        <v>1</v>
      </c>
      <c r="D211" s="41"/>
      <c r="E211" s="42"/>
      <c r="F211" s="43"/>
      <c r="G211" s="11"/>
      <c r="H211" s="97" t="s">
        <v>467</v>
      </c>
      <c r="I211" s="97" t="s">
        <v>467</v>
      </c>
      <c r="J211" s="97" t="s">
        <v>467</v>
      </c>
      <c r="K211" s="11"/>
      <c r="L211" s="43"/>
    </row>
    <row r="212" spans="1:12" s="24" customFormat="1" ht="19.95" customHeight="1" x14ac:dyDescent="0.25">
      <c r="A212" s="16"/>
      <c r="B212" s="28"/>
      <c r="C212" s="16"/>
      <c r="D212" s="29"/>
      <c r="E212" s="30"/>
      <c r="F212" s="31"/>
      <c r="G212" s="11"/>
      <c r="H212" s="32"/>
      <c r="I212" s="32"/>
      <c r="J212" s="32"/>
      <c r="K212" s="11"/>
      <c r="L212" s="31"/>
    </row>
    <row r="213" spans="1:12" s="24" customFormat="1" ht="19.95" customHeight="1" x14ac:dyDescent="0.25">
      <c r="A213" s="44"/>
      <c r="B213" s="45" t="s">
        <v>10</v>
      </c>
      <c r="C213" s="46">
        <f>SUM(C194:C211)</f>
        <v>14</v>
      </c>
      <c r="D213" s="46">
        <f>SUM(D194:D205)</f>
        <v>0</v>
      </c>
      <c r="E213" s="46">
        <f>SUM(E194:E205)</f>
        <v>0</v>
      </c>
      <c r="F213" s="46">
        <f>SUM(F194:F205)</f>
        <v>0</v>
      </c>
      <c r="G213" s="46">
        <f>SUM(G194:G205)</f>
        <v>0</v>
      </c>
      <c r="H213" s="46"/>
      <c r="I213" s="46"/>
      <c r="J213" s="46"/>
      <c r="K213" s="46"/>
      <c r="L213" s="46"/>
    </row>
    <row r="214" spans="1:12" s="24" customFormat="1" ht="19.95" customHeight="1" x14ac:dyDescent="0.25">
      <c r="A214" s="47"/>
      <c r="B214" s="48"/>
      <c r="C214" s="40"/>
      <c r="D214" s="40"/>
      <c r="E214" s="40"/>
      <c r="F214" s="40"/>
      <c r="G214" s="40"/>
      <c r="H214" s="40"/>
      <c r="I214" s="40"/>
      <c r="J214" s="40"/>
      <c r="K214" s="40"/>
      <c r="L214" s="40"/>
    </row>
    <row r="215" spans="1:12" s="24" customFormat="1" ht="19.95" customHeight="1" x14ac:dyDescent="0.25">
      <c r="A215" s="36" t="s">
        <v>11</v>
      </c>
      <c r="B215" s="2" t="s">
        <v>1</v>
      </c>
      <c r="C215" s="90" t="s">
        <v>2</v>
      </c>
      <c r="D215" s="90"/>
      <c r="E215" s="90"/>
      <c r="F215" s="90"/>
      <c r="G215" s="90"/>
      <c r="H215" s="95"/>
      <c r="I215" s="95"/>
      <c r="J215" s="95"/>
      <c r="K215" s="95"/>
    </row>
    <row r="216" spans="1:12" s="24" customFormat="1" ht="93.6" customHeight="1" x14ac:dyDescent="0.25">
      <c r="A216" s="1"/>
      <c r="B216" s="6" t="s">
        <v>70</v>
      </c>
      <c r="C216" s="98" t="s">
        <v>469</v>
      </c>
      <c r="D216" s="41" t="s">
        <v>470</v>
      </c>
      <c r="E216" s="42" t="s">
        <v>471</v>
      </c>
      <c r="F216" s="42" t="s">
        <v>472</v>
      </c>
      <c r="G216" s="99" t="s">
        <v>473</v>
      </c>
      <c r="H216" s="96" t="s">
        <v>464</v>
      </c>
      <c r="I216" s="96" t="s">
        <v>465</v>
      </c>
      <c r="J216" s="96" t="s">
        <v>466</v>
      </c>
      <c r="K216" s="96" t="s">
        <v>468</v>
      </c>
      <c r="L216" s="10"/>
    </row>
    <row r="217" spans="1:12" s="24" customFormat="1" ht="19.95" customHeight="1" x14ac:dyDescent="0.25">
      <c r="A217" s="13">
        <v>1</v>
      </c>
      <c r="B217" s="14" t="s">
        <v>71</v>
      </c>
      <c r="C217" s="7"/>
      <c r="D217" s="8"/>
      <c r="E217" s="9"/>
      <c r="F217" s="10"/>
      <c r="G217" s="11"/>
      <c r="H217" s="11"/>
      <c r="I217" s="11"/>
      <c r="J217" s="11"/>
      <c r="K217" s="11"/>
      <c r="L217" s="10"/>
    </row>
    <row r="218" spans="1:12" s="24" customFormat="1" ht="19.95" customHeight="1" x14ac:dyDescent="0.25">
      <c r="A218" s="16"/>
      <c r="B218" s="14"/>
      <c r="C218" s="7"/>
      <c r="D218" s="8"/>
      <c r="E218" s="9"/>
      <c r="F218" s="10"/>
      <c r="G218" s="11"/>
      <c r="H218" s="11"/>
      <c r="I218" s="11"/>
      <c r="J218" s="11"/>
      <c r="K218" s="11"/>
      <c r="L218" s="10"/>
    </row>
    <row r="219" spans="1:12" s="12" customFormat="1" ht="19.95" customHeight="1" x14ac:dyDescent="0.3">
      <c r="A219" s="17"/>
      <c r="B219" s="53" t="s">
        <v>15</v>
      </c>
      <c r="C219" s="54"/>
      <c r="D219" s="55"/>
      <c r="E219" s="56">
        <v>2</v>
      </c>
      <c r="F219" s="57"/>
      <c r="G219" s="11"/>
      <c r="H219" s="97" t="s">
        <v>467</v>
      </c>
      <c r="I219" s="97" t="s">
        <v>467</v>
      </c>
      <c r="J219" s="97" t="s">
        <v>467</v>
      </c>
      <c r="K219" s="11"/>
      <c r="L219" s="57"/>
    </row>
    <row r="220" spans="1:12" ht="19.95" customHeight="1" x14ac:dyDescent="0.35">
      <c r="B220" s="53" t="s">
        <v>277</v>
      </c>
      <c r="C220" s="54"/>
      <c r="D220" s="55"/>
      <c r="E220" s="56">
        <v>1</v>
      </c>
      <c r="F220" s="57"/>
      <c r="G220" s="11"/>
      <c r="H220" s="97" t="s">
        <v>467</v>
      </c>
      <c r="I220" s="97" t="s">
        <v>467</v>
      </c>
      <c r="J220" s="97" t="s">
        <v>467</v>
      </c>
      <c r="K220" s="11"/>
      <c r="L220" s="57"/>
    </row>
    <row r="221" spans="1:12" ht="19.95" customHeight="1" x14ac:dyDescent="0.35">
      <c r="B221" s="53" t="s">
        <v>72</v>
      </c>
      <c r="C221" s="54"/>
      <c r="D221" s="55"/>
      <c r="E221" s="56">
        <v>2</v>
      </c>
      <c r="F221" s="57"/>
      <c r="G221" s="11"/>
      <c r="H221" s="97" t="s">
        <v>467</v>
      </c>
      <c r="I221" s="97" t="s">
        <v>467</v>
      </c>
      <c r="J221" s="97" t="s">
        <v>467</v>
      </c>
      <c r="K221" s="11"/>
      <c r="L221" s="57"/>
    </row>
    <row r="222" spans="1:12" s="24" customFormat="1" ht="19.95" customHeight="1" x14ac:dyDescent="0.25">
      <c r="A222" s="17"/>
      <c r="B222" s="53" t="s">
        <v>19</v>
      </c>
      <c r="C222" s="54"/>
      <c r="D222" s="55">
        <v>1</v>
      </c>
      <c r="E222" s="56"/>
      <c r="F222" s="57"/>
      <c r="G222" s="11"/>
      <c r="H222" s="97" t="s">
        <v>467</v>
      </c>
      <c r="I222" s="97" t="s">
        <v>467</v>
      </c>
      <c r="J222" s="97" t="s">
        <v>467</v>
      </c>
      <c r="K222" s="11"/>
      <c r="L222" s="57"/>
    </row>
    <row r="223" spans="1:12" s="24" customFormat="1" ht="19.95" customHeight="1" x14ac:dyDescent="0.25">
      <c r="A223" s="17"/>
      <c r="B223" s="53" t="s">
        <v>20</v>
      </c>
      <c r="C223" s="54">
        <v>1</v>
      </c>
      <c r="D223" s="55"/>
      <c r="E223" s="56"/>
      <c r="F223" s="57"/>
      <c r="G223" s="11"/>
      <c r="H223" s="97" t="s">
        <v>467</v>
      </c>
      <c r="I223" s="97" t="s">
        <v>467</v>
      </c>
      <c r="J223" s="97" t="s">
        <v>467</v>
      </c>
      <c r="K223" s="11"/>
      <c r="L223" s="57"/>
    </row>
    <row r="224" spans="1:12" s="24" customFormat="1" ht="19.95" customHeight="1" x14ac:dyDescent="0.25">
      <c r="A224" s="17"/>
      <c r="B224" s="53" t="s">
        <v>21</v>
      </c>
      <c r="C224" s="54">
        <v>1</v>
      </c>
      <c r="D224" s="55"/>
      <c r="E224" s="56"/>
      <c r="F224" s="57"/>
      <c r="G224" s="11"/>
      <c r="H224" s="97" t="s">
        <v>467</v>
      </c>
      <c r="I224" s="97" t="s">
        <v>467</v>
      </c>
      <c r="J224" s="97" t="s">
        <v>467</v>
      </c>
      <c r="K224" s="11"/>
      <c r="L224" s="57"/>
    </row>
    <row r="225" spans="1:12" s="24" customFormat="1" ht="19.95" customHeight="1" x14ac:dyDescent="0.25">
      <c r="A225" s="17"/>
      <c r="B225" s="53" t="s">
        <v>73</v>
      </c>
      <c r="C225" s="54">
        <v>1</v>
      </c>
      <c r="D225" s="55"/>
      <c r="E225" s="56"/>
      <c r="F225" s="57"/>
      <c r="G225" s="11"/>
      <c r="H225" s="97" t="s">
        <v>467</v>
      </c>
      <c r="I225" s="97" t="s">
        <v>467</v>
      </c>
      <c r="J225" s="97" t="s">
        <v>467</v>
      </c>
      <c r="K225" s="11"/>
      <c r="L225" s="57"/>
    </row>
    <row r="226" spans="1:12" s="24" customFormat="1" ht="19.95" customHeight="1" x14ac:dyDescent="0.25">
      <c r="A226" s="17"/>
      <c r="B226" s="53" t="s">
        <v>22</v>
      </c>
      <c r="C226" s="54">
        <v>1</v>
      </c>
      <c r="D226" s="55"/>
      <c r="E226" s="56"/>
      <c r="F226" s="57"/>
      <c r="G226" s="11"/>
      <c r="H226" s="97" t="s">
        <v>467</v>
      </c>
      <c r="I226" s="97" t="s">
        <v>467</v>
      </c>
      <c r="J226" s="97" t="s">
        <v>467</v>
      </c>
      <c r="K226" s="11"/>
      <c r="L226" s="57"/>
    </row>
    <row r="227" spans="1:12" s="24" customFormat="1" ht="19.95" customHeight="1" x14ac:dyDescent="0.25">
      <c r="A227" s="17"/>
      <c r="B227" s="58" t="s">
        <v>74</v>
      </c>
      <c r="C227" s="54"/>
      <c r="D227" s="55"/>
      <c r="E227" s="56">
        <v>1</v>
      </c>
      <c r="F227" s="57">
        <v>1</v>
      </c>
      <c r="G227" s="11"/>
      <c r="H227" s="97" t="s">
        <v>467</v>
      </c>
      <c r="I227" s="97" t="s">
        <v>467</v>
      </c>
      <c r="J227" s="97" t="s">
        <v>467</v>
      </c>
      <c r="K227" s="11"/>
      <c r="L227" s="57"/>
    </row>
    <row r="228" spans="1:12" s="24" customFormat="1" ht="19.95" customHeight="1" x14ac:dyDescent="0.25">
      <c r="A228" s="17"/>
      <c r="B228" s="58" t="s">
        <v>274</v>
      </c>
      <c r="C228" s="54">
        <v>1</v>
      </c>
      <c r="D228" s="55"/>
      <c r="E228" s="56"/>
      <c r="F228" s="57"/>
      <c r="G228" s="11"/>
      <c r="H228" s="97" t="s">
        <v>467</v>
      </c>
      <c r="I228" s="97" t="s">
        <v>467</v>
      </c>
      <c r="J228" s="97" t="s">
        <v>467</v>
      </c>
      <c r="K228" s="11"/>
      <c r="L228" s="57"/>
    </row>
    <row r="229" spans="1:12" s="24" customFormat="1" ht="19.95" customHeight="1" x14ac:dyDescent="0.25">
      <c r="A229" s="17"/>
      <c r="B229" s="53" t="s">
        <v>269</v>
      </c>
      <c r="C229" s="54">
        <v>1</v>
      </c>
      <c r="D229" s="55"/>
      <c r="E229" s="56"/>
      <c r="F229" s="57"/>
      <c r="G229" s="11"/>
      <c r="H229" s="97" t="s">
        <v>467</v>
      </c>
      <c r="I229" s="97" t="s">
        <v>467</v>
      </c>
      <c r="J229" s="97" t="s">
        <v>467</v>
      </c>
      <c r="K229" s="11"/>
      <c r="L229" s="57"/>
    </row>
    <row r="230" spans="1:12" s="24" customFormat="1" ht="19.95" customHeight="1" x14ac:dyDescent="0.25">
      <c r="A230" s="17"/>
      <c r="B230" s="58" t="s">
        <v>23</v>
      </c>
      <c r="C230" s="54"/>
      <c r="D230" s="55"/>
      <c r="E230" s="56">
        <v>1</v>
      </c>
      <c r="F230" s="57">
        <v>1</v>
      </c>
      <c r="G230" s="11"/>
      <c r="H230" s="97" t="s">
        <v>467</v>
      </c>
      <c r="I230" s="97" t="s">
        <v>467</v>
      </c>
      <c r="J230" s="97" t="s">
        <v>467</v>
      </c>
      <c r="K230" s="11"/>
      <c r="L230" s="57"/>
    </row>
    <row r="231" spans="1:12" s="24" customFormat="1" ht="19.95" customHeight="1" x14ac:dyDescent="0.25">
      <c r="A231" s="17"/>
      <c r="B231" s="58" t="s">
        <v>24</v>
      </c>
      <c r="C231" s="54"/>
      <c r="D231" s="55"/>
      <c r="E231" s="56">
        <v>1</v>
      </c>
      <c r="F231" s="57"/>
      <c r="G231" s="11"/>
      <c r="H231" s="97" t="s">
        <v>467</v>
      </c>
      <c r="I231" s="97" t="s">
        <v>467</v>
      </c>
      <c r="J231" s="97" t="s">
        <v>467</v>
      </c>
      <c r="K231" s="11"/>
      <c r="L231" s="57"/>
    </row>
    <row r="232" spans="1:12" s="24" customFormat="1" ht="19.95" customHeight="1" x14ac:dyDescent="0.25">
      <c r="A232" s="17"/>
      <c r="B232" s="58" t="s">
        <v>75</v>
      </c>
      <c r="C232" s="54"/>
      <c r="D232" s="55"/>
      <c r="F232" s="57"/>
      <c r="G232" s="57">
        <v>1</v>
      </c>
      <c r="H232" s="96" t="s">
        <v>476</v>
      </c>
      <c r="I232" s="96" t="s">
        <v>476</v>
      </c>
      <c r="J232" s="96" t="s">
        <v>476</v>
      </c>
      <c r="K232" s="11"/>
      <c r="L232" s="57"/>
    </row>
    <row r="233" spans="1:12" s="24" customFormat="1" ht="19.95" customHeight="1" x14ac:dyDescent="0.25">
      <c r="A233" s="17"/>
      <c r="B233" s="58" t="s">
        <v>76</v>
      </c>
      <c r="C233" s="54"/>
      <c r="D233" s="55"/>
      <c r="E233" s="56">
        <v>1</v>
      </c>
      <c r="F233" s="57">
        <v>1</v>
      </c>
      <c r="G233" s="11"/>
      <c r="H233" s="97" t="s">
        <v>467</v>
      </c>
      <c r="I233" s="97" t="s">
        <v>467</v>
      </c>
      <c r="J233" s="97" t="s">
        <v>467</v>
      </c>
      <c r="K233" s="11"/>
      <c r="L233" s="57"/>
    </row>
    <row r="234" spans="1:12" s="24" customFormat="1" ht="19.95" customHeight="1" x14ac:dyDescent="0.25">
      <c r="A234" s="17"/>
      <c r="B234" s="53" t="s">
        <v>77</v>
      </c>
      <c r="C234" s="54"/>
      <c r="D234" s="55">
        <v>1</v>
      </c>
      <c r="E234" s="56"/>
      <c r="F234" s="57"/>
      <c r="G234" s="11"/>
      <c r="H234" s="97" t="s">
        <v>467</v>
      </c>
      <c r="I234" s="97" t="s">
        <v>467</v>
      </c>
      <c r="J234" s="97" t="s">
        <v>467</v>
      </c>
      <c r="K234" s="11"/>
      <c r="L234" s="57"/>
    </row>
    <row r="235" spans="1:12" s="24" customFormat="1" ht="19.95" customHeight="1" x14ac:dyDescent="0.25">
      <c r="A235" s="17"/>
      <c r="B235" s="53" t="s">
        <v>78</v>
      </c>
      <c r="C235" s="54">
        <v>1</v>
      </c>
      <c r="D235" s="55"/>
      <c r="E235" s="56"/>
      <c r="F235" s="57"/>
      <c r="G235" s="11"/>
      <c r="H235" s="97" t="s">
        <v>467</v>
      </c>
      <c r="I235" s="97" t="s">
        <v>467</v>
      </c>
      <c r="J235" s="97" t="s">
        <v>467</v>
      </c>
      <c r="K235" s="11"/>
      <c r="L235" s="57"/>
    </row>
    <row r="236" spans="1:12" s="24" customFormat="1" ht="19.95" customHeight="1" x14ac:dyDescent="0.25">
      <c r="A236" s="17"/>
      <c r="B236" s="53" t="s">
        <v>79</v>
      </c>
      <c r="C236" s="54">
        <v>1</v>
      </c>
      <c r="D236" s="55"/>
      <c r="E236" s="56"/>
      <c r="F236" s="57"/>
      <c r="G236" s="11"/>
      <c r="H236" s="97" t="s">
        <v>467</v>
      </c>
      <c r="I236" s="97" t="s">
        <v>467</v>
      </c>
      <c r="J236" s="97" t="s">
        <v>467</v>
      </c>
      <c r="K236" s="11"/>
      <c r="L236" s="57"/>
    </row>
    <row r="237" spans="1:12" s="24" customFormat="1" ht="19.95" customHeight="1" x14ac:dyDescent="0.25">
      <c r="A237" s="17"/>
      <c r="B237" s="53" t="s">
        <v>80</v>
      </c>
      <c r="C237" s="54">
        <v>1</v>
      </c>
      <c r="D237" s="55"/>
      <c r="E237" s="56"/>
      <c r="F237" s="57"/>
      <c r="G237" s="11"/>
      <c r="H237" s="97" t="s">
        <v>467</v>
      </c>
      <c r="I237" s="97" t="s">
        <v>467</v>
      </c>
      <c r="J237" s="97" t="s">
        <v>467</v>
      </c>
      <c r="K237" s="11"/>
      <c r="L237" s="57"/>
    </row>
    <row r="238" spans="1:12" s="24" customFormat="1" ht="19.95" customHeight="1" x14ac:dyDescent="0.25">
      <c r="A238" s="17"/>
      <c r="B238" s="53" t="s">
        <v>81</v>
      </c>
      <c r="C238" s="54">
        <v>1</v>
      </c>
      <c r="D238" s="55"/>
      <c r="E238" s="56"/>
      <c r="F238" s="57"/>
      <c r="G238" s="11"/>
      <c r="H238" s="97" t="s">
        <v>467</v>
      </c>
      <c r="I238" s="97" t="s">
        <v>467</v>
      </c>
      <c r="J238" s="97" t="s">
        <v>467</v>
      </c>
      <c r="K238" s="11"/>
      <c r="L238" s="57"/>
    </row>
    <row r="239" spans="1:12" s="24" customFormat="1" ht="19.95" customHeight="1" x14ac:dyDescent="0.25">
      <c r="A239" s="17"/>
      <c r="B239" s="53" t="s">
        <v>82</v>
      </c>
      <c r="C239" s="54"/>
      <c r="D239" s="55"/>
      <c r="E239" s="56">
        <v>2</v>
      </c>
      <c r="F239" s="57"/>
      <c r="G239" s="11"/>
      <c r="H239" s="97" t="s">
        <v>467</v>
      </c>
      <c r="I239" s="97" t="s">
        <v>467</v>
      </c>
      <c r="J239" s="97" t="s">
        <v>467</v>
      </c>
      <c r="K239" s="11"/>
      <c r="L239" s="57"/>
    </row>
    <row r="240" spans="1:12" s="24" customFormat="1" ht="19.95" customHeight="1" x14ac:dyDescent="0.25">
      <c r="A240" s="17"/>
      <c r="B240" s="58" t="s">
        <v>83</v>
      </c>
      <c r="C240" s="54"/>
      <c r="D240" s="55">
        <v>1</v>
      </c>
      <c r="E240" s="56"/>
      <c r="F240" s="57"/>
      <c r="G240" s="11"/>
      <c r="H240" s="97" t="s">
        <v>467</v>
      </c>
      <c r="I240" s="97" t="s">
        <v>467</v>
      </c>
      <c r="J240" s="97" t="s">
        <v>467</v>
      </c>
      <c r="K240" s="11"/>
      <c r="L240" s="57"/>
    </row>
    <row r="241" spans="1:12" s="24" customFormat="1" ht="19.95" customHeight="1" x14ac:dyDescent="0.25">
      <c r="A241" s="17"/>
      <c r="B241" s="58" t="s">
        <v>84</v>
      </c>
      <c r="C241" s="54">
        <v>1</v>
      </c>
      <c r="D241" s="55"/>
      <c r="E241" s="56"/>
      <c r="F241" s="57"/>
      <c r="G241" s="11"/>
      <c r="H241" s="97" t="s">
        <v>467</v>
      </c>
      <c r="I241" s="97" t="s">
        <v>467</v>
      </c>
      <c r="J241" s="97" t="s">
        <v>467</v>
      </c>
      <c r="K241" s="11"/>
      <c r="L241" s="57"/>
    </row>
    <row r="242" spans="1:12" s="24" customFormat="1" ht="19.95" customHeight="1" x14ac:dyDescent="0.25">
      <c r="A242" s="17"/>
      <c r="B242" s="58" t="s">
        <v>85</v>
      </c>
      <c r="C242" s="54">
        <v>1</v>
      </c>
      <c r="D242" s="55"/>
      <c r="E242" s="56"/>
      <c r="F242" s="57"/>
      <c r="G242" s="11"/>
      <c r="H242" s="97" t="s">
        <v>467</v>
      </c>
      <c r="I242" s="97" t="s">
        <v>467</v>
      </c>
      <c r="J242" s="97" t="s">
        <v>467</v>
      </c>
      <c r="K242" s="11"/>
      <c r="L242" s="57"/>
    </row>
    <row r="243" spans="1:12" s="24" customFormat="1" ht="19.95" customHeight="1" x14ac:dyDescent="0.25">
      <c r="A243" s="17"/>
      <c r="B243" s="58" t="s">
        <v>86</v>
      </c>
      <c r="C243" s="54"/>
      <c r="D243" s="55"/>
      <c r="E243" s="56">
        <v>2</v>
      </c>
      <c r="F243" s="57"/>
      <c r="G243" s="11"/>
      <c r="H243" s="97" t="s">
        <v>467</v>
      </c>
      <c r="I243" s="97" t="s">
        <v>467</v>
      </c>
      <c r="J243" s="97" t="s">
        <v>467</v>
      </c>
      <c r="K243" s="11"/>
      <c r="L243" s="57"/>
    </row>
    <row r="244" spans="1:12" s="24" customFormat="1" ht="19.95" customHeight="1" x14ac:dyDescent="0.25">
      <c r="A244" s="59"/>
      <c r="B244" s="60" t="s">
        <v>271</v>
      </c>
      <c r="C244" s="54"/>
      <c r="D244" s="55"/>
      <c r="E244" s="56">
        <v>1</v>
      </c>
      <c r="F244" s="57"/>
      <c r="G244" s="11"/>
      <c r="H244" s="97" t="s">
        <v>467</v>
      </c>
      <c r="I244" s="97" t="s">
        <v>467</v>
      </c>
      <c r="J244" s="97" t="s">
        <v>467</v>
      </c>
      <c r="K244" s="11"/>
      <c r="L244" s="57"/>
    </row>
    <row r="245" spans="1:12" s="24" customFormat="1" ht="19.95" customHeight="1" x14ac:dyDescent="0.25">
      <c r="A245" s="59"/>
      <c r="B245" s="60" t="s">
        <v>270</v>
      </c>
      <c r="C245" s="54"/>
      <c r="D245" s="55"/>
      <c r="E245" s="56">
        <v>1</v>
      </c>
      <c r="F245" s="57"/>
      <c r="G245" s="11"/>
      <c r="H245" s="97" t="s">
        <v>467</v>
      </c>
      <c r="I245" s="97" t="s">
        <v>467</v>
      </c>
      <c r="J245" s="97" t="s">
        <v>467</v>
      </c>
      <c r="K245" s="11"/>
      <c r="L245" s="57"/>
    </row>
    <row r="246" spans="1:12" s="24" customFormat="1" ht="19.95" customHeight="1" x14ac:dyDescent="0.25">
      <c r="A246" s="59"/>
      <c r="B246" s="60" t="s">
        <v>272</v>
      </c>
      <c r="C246" s="54"/>
      <c r="D246" s="55"/>
      <c r="E246" s="56">
        <v>4</v>
      </c>
      <c r="F246" s="57"/>
      <c r="G246" s="11"/>
      <c r="H246" s="97" t="s">
        <v>467</v>
      </c>
      <c r="I246" s="97" t="s">
        <v>467</v>
      </c>
      <c r="J246" s="97" t="s">
        <v>467</v>
      </c>
      <c r="K246" s="11"/>
      <c r="L246" s="57"/>
    </row>
    <row r="247" spans="1:12" s="24" customFormat="1" ht="19.95" customHeight="1" x14ac:dyDescent="0.25">
      <c r="A247" s="59"/>
      <c r="B247" s="60" t="s">
        <v>273</v>
      </c>
      <c r="C247" s="54"/>
      <c r="D247" s="55"/>
      <c r="E247" s="56">
        <v>1</v>
      </c>
      <c r="F247" s="57"/>
      <c r="G247" s="11"/>
      <c r="H247" s="97" t="s">
        <v>467</v>
      </c>
      <c r="I247" s="97" t="s">
        <v>467</v>
      </c>
      <c r="J247" s="97" t="s">
        <v>467</v>
      </c>
      <c r="K247" s="11"/>
      <c r="L247" s="57"/>
    </row>
    <row r="248" spans="1:12" s="24" customFormat="1" ht="19.95" customHeight="1" x14ac:dyDescent="0.25">
      <c r="A248" s="59"/>
      <c r="B248" s="60" t="s">
        <v>87</v>
      </c>
      <c r="C248" s="54"/>
      <c r="D248" s="55"/>
      <c r="E248" s="56">
        <v>1</v>
      </c>
      <c r="F248" s="57">
        <v>1</v>
      </c>
      <c r="G248" s="11"/>
      <c r="H248" s="97" t="s">
        <v>467</v>
      </c>
      <c r="I248" s="97" t="s">
        <v>467</v>
      </c>
      <c r="J248" s="97" t="s">
        <v>467</v>
      </c>
      <c r="K248" s="11"/>
      <c r="L248" s="57"/>
    </row>
    <row r="249" spans="1:12" s="24" customFormat="1" ht="19.95" customHeight="1" x14ac:dyDescent="0.25">
      <c r="A249" s="17"/>
      <c r="B249" s="58"/>
      <c r="C249" s="54"/>
      <c r="D249" s="55"/>
      <c r="E249" s="56"/>
      <c r="F249" s="57"/>
      <c r="G249" s="11"/>
      <c r="H249" s="57"/>
      <c r="I249" s="57"/>
      <c r="J249" s="57"/>
      <c r="K249" s="11"/>
      <c r="L249" s="57"/>
    </row>
    <row r="250" spans="1:12" s="12" customFormat="1" ht="19.95" customHeight="1" x14ac:dyDescent="0.3">
      <c r="A250" s="13">
        <v>1</v>
      </c>
      <c r="B250" s="14" t="s">
        <v>25</v>
      </c>
      <c r="C250" s="7"/>
      <c r="D250" s="8"/>
      <c r="E250" s="9"/>
      <c r="F250" s="10"/>
      <c r="G250" s="11"/>
      <c r="H250" s="11"/>
      <c r="I250" s="11"/>
      <c r="J250" s="11"/>
      <c r="K250" s="11"/>
      <c r="L250" s="10"/>
    </row>
    <row r="251" spans="1:12" ht="19.95" customHeight="1" x14ac:dyDescent="0.35">
      <c r="A251" s="16"/>
      <c r="B251" s="14" t="s">
        <v>89</v>
      </c>
      <c r="C251" s="7"/>
      <c r="D251" s="8"/>
      <c r="E251" s="9"/>
      <c r="F251" s="10"/>
      <c r="G251" s="11"/>
      <c r="H251" s="11"/>
      <c r="I251" s="11"/>
      <c r="J251" s="11"/>
      <c r="K251" s="11"/>
      <c r="L251" s="10"/>
    </row>
    <row r="252" spans="1:12" s="24" customFormat="1" ht="19.95" customHeight="1" x14ac:dyDescent="0.25">
      <c r="A252" s="17"/>
      <c r="B252" s="38" t="s">
        <v>26</v>
      </c>
      <c r="C252" s="40">
        <v>1</v>
      </c>
      <c r="D252" s="41"/>
      <c r="E252" s="42"/>
      <c r="F252" s="43"/>
      <c r="G252" s="11"/>
      <c r="H252" s="97" t="s">
        <v>467</v>
      </c>
      <c r="I252" s="97" t="s">
        <v>467</v>
      </c>
      <c r="J252" s="97" t="s">
        <v>467</v>
      </c>
      <c r="K252" s="11"/>
      <c r="L252" s="43"/>
    </row>
    <row r="253" spans="1:12" ht="19.95" customHeight="1" x14ac:dyDescent="0.35">
      <c r="B253" s="38" t="s">
        <v>27</v>
      </c>
      <c r="C253" s="40">
        <v>1</v>
      </c>
      <c r="D253" s="41"/>
      <c r="E253" s="42"/>
      <c r="F253" s="43"/>
      <c r="G253" s="11"/>
      <c r="H253" s="97" t="s">
        <v>467</v>
      </c>
      <c r="I253" s="97" t="s">
        <v>467</v>
      </c>
      <c r="J253" s="97" t="s">
        <v>467</v>
      </c>
      <c r="K253" s="11"/>
      <c r="L253" s="43"/>
    </row>
    <row r="254" spans="1:12" ht="19.95" customHeight="1" x14ac:dyDescent="0.35">
      <c r="A254" s="16"/>
      <c r="B254" s="28"/>
      <c r="C254" s="16"/>
      <c r="D254" s="29"/>
      <c r="E254" s="30"/>
      <c r="F254" s="31"/>
      <c r="G254" s="11"/>
      <c r="H254" s="32"/>
      <c r="I254" s="32"/>
      <c r="J254" s="32"/>
      <c r="K254" s="11"/>
      <c r="L254" s="31"/>
    </row>
    <row r="255" spans="1:12" s="24" customFormat="1" ht="19.95" customHeight="1" x14ac:dyDescent="0.25">
      <c r="A255" s="13">
        <v>1</v>
      </c>
      <c r="B255" s="14" t="s">
        <v>90</v>
      </c>
      <c r="C255" s="7"/>
      <c r="D255" s="8"/>
      <c r="E255" s="9"/>
      <c r="F255" s="10"/>
      <c r="G255" s="11"/>
      <c r="H255" s="11"/>
      <c r="I255" s="11"/>
      <c r="J255" s="11"/>
      <c r="K255" s="11"/>
      <c r="L255" s="10"/>
    </row>
    <row r="256" spans="1:12" s="24" customFormat="1" ht="19.95" customHeight="1" x14ac:dyDescent="0.25">
      <c r="A256" s="16"/>
      <c r="B256" s="14"/>
      <c r="C256" s="7"/>
      <c r="D256" s="8"/>
      <c r="E256" s="9"/>
      <c r="F256" s="10"/>
      <c r="G256" s="11"/>
      <c r="H256" s="11"/>
      <c r="I256" s="11"/>
      <c r="J256" s="11"/>
      <c r="K256" s="11"/>
      <c r="L256" s="10"/>
    </row>
    <row r="257" spans="1:12" s="33" customFormat="1" ht="19.95" customHeight="1" x14ac:dyDescent="0.25">
      <c r="A257" s="17"/>
      <c r="B257" s="53" t="s">
        <v>15</v>
      </c>
      <c r="C257" s="54"/>
      <c r="D257" s="55"/>
      <c r="E257" s="56">
        <v>2</v>
      </c>
      <c r="F257" s="57"/>
      <c r="G257" s="11"/>
      <c r="H257" s="97" t="s">
        <v>467</v>
      </c>
      <c r="I257" s="97" t="s">
        <v>467</v>
      </c>
      <c r="J257" s="97" t="s">
        <v>467</v>
      </c>
      <c r="K257" s="11"/>
      <c r="L257" s="57"/>
    </row>
    <row r="258" spans="1:12" ht="19.95" customHeight="1" x14ac:dyDescent="0.35">
      <c r="B258" s="53" t="s">
        <v>277</v>
      </c>
      <c r="C258" s="54"/>
      <c r="D258" s="55"/>
      <c r="E258" s="56">
        <v>1</v>
      </c>
      <c r="F258" s="57"/>
      <c r="G258" s="11"/>
      <c r="H258" s="97" t="s">
        <v>467</v>
      </c>
      <c r="I258" s="97" t="s">
        <v>467</v>
      </c>
      <c r="J258" s="97" t="s">
        <v>467</v>
      </c>
      <c r="K258" s="11"/>
      <c r="L258" s="57"/>
    </row>
    <row r="259" spans="1:12" ht="19.95" customHeight="1" x14ac:dyDescent="0.35">
      <c r="B259" s="53" t="s">
        <v>72</v>
      </c>
      <c r="C259" s="54"/>
      <c r="D259" s="55"/>
      <c r="E259" s="56">
        <v>2</v>
      </c>
      <c r="F259" s="57"/>
      <c r="G259" s="11"/>
      <c r="H259" s="97" t="s">
        <v>467</v>
      </c>
      <c r="I259" s="97" t="s">
        <v>467</v>
      </c>
      <c r="J259" s="97" t="s">
        <v>467</v>
      </c>
      <c r="K259" s="11"/>
      <c r="L259" s="57"/>
    </row>
    <row r="260" spans="1:12" s="24" customFormat="1" ht="19.95" customHeight="1" x14ac:dyDescent="0.25">
      <c r="A260" s="17"/>
      <c r="B260" s="53" t="s">
        <v>19</v>
      </c>
      <c r="C260" s="54"/>
      <c r="D260" s="55">
        <v>1</v>
      </c>
      <c r="E260" s="56"/>
      <c r="F260" s="57"/>
      <c r="G260" s="11"/>
      <c r="H260" s="97" t="s">
        <v>467</v>
      </c>
      <c r="I260" s="97" t="s">
        <v>467</v>
      </c>
      <c r="J260" s="97" t="s">
        <v>467</v>
      </c>
      <c r="K260" s="11"/>
      <c r="L260" s="57"/>
    </row>
    <row r="261" spans="1:12" s="24" customFormat="1" ht="19.95" customHeight="1" x14ac:dyDescent="0.25">
      <c r="A261" s="17"/>
      <c r="B261" s="53" t="s">
        <v>20</v>
      </c>
      <c r="C261" s="54">
        <v>1</v>
      </c>
      <c r="D261" s="55"/>
      <c r="E261" s="56"/>
      <c r="F261" s="57"/>
      <c r="G261" s="11"/>
      <c r="H261" s="97" t="s">
        <v>467</v>
      </c>
      <c r="I261" s="97" t="s">
        <v>467</v>
      </c>
      <c r="J261" s="97" t="s">
        <v>467</v>
      </c>
      <c r="K261" s="11"/>
      <c r="L261" s="57"/>
    </row>
    <row r="262" spans="1:12" s="24" customFormat="1" ht="19.95" customHeight="1" x14ac:dyDescent="0.25">
      <c r="A262" s="17"/>
      <c r="B262" s="53" t="s">
        <v>21</v>
      </c>
      <c r="C262" s="54">
        <v>1</v>
      </c>
      <c r="D262" s="55"/>
      <c r="E262" s="56"/>
      <c r="F262" s="57"/>
      <c r="G262" s="11"/>
      <c r="H262" s="97" t="s">
        <v>467</v>
      </c>
      <c r="I262" s="97" t="s">
        <v>467</v>
      </c>
      <c r="J262" s="97" t="s">
        <v>467</v>
      </c>
      <c r="K262" s="11"/>
      <c r="L262" s="57"/>
    </row>
    <row r="263" spans="1:12" s="24" customFormat="1" ht="19.95" customHeight="1" x14ac:dyDescent="0.25">
      <c r="A263" s="17"/>
      <c r="B263" s="53" t="s">
        <v>73</v>
      </c>
      <c r="C263" s="54">
        <v>1</v>
      </c>
      <c r="D263" s="55"/>
      <c r="E263" s="56"/>
      <c r="F263" s="57"/>
      <c r="G263" s="11"/>
      <c r="H263" s="97" t="s">
        <v>467</v>
      </c>
      <c r="I263" s="97" t="s">
        <v>467</v>
      </c>
      <c r="J263" s="97" t="s">
        <v>467</v>
      </c>
      <c r="K263" s="11"/>
      <c r="L263" s="57"/>
    </row>
    <row r="264" spans="1:12" s="24" customFormat="1" ht="19.95" customHeight="1" x14ac:dyDescent="0.25">
      <c r="A264" s="17"/>
      <c r="B264" s="53" t="s">
        <v>22</v>
      </c>
      <c r="C264" s="54">
        <v>1</v>
      </c>
      <c r="D264" s="55"/>
      <c r="E264" s="56"/>
      <c r="F264" s="57"/>
      <c r="G264" s="11"/>
      <c r="H264" s="97" t="s">
        <v>467</v>
      </c>
      <c r="I264" s="97" t="s">
        <v>467</v>
      </c>
      <c r="J264" s="97" t="s">
        <v>467</v>
      </c>
      <c r="K264" s="11"/>
      <c r="L264" s="57"/>
    </row>
    <row r="265" spans="1:12" s="24" customFormat="1" ht="19.95" customHeight="1" x14ac:dyDescent="0.25">
      <c r="A265" s="17"/>
      <c r="B265" s="58" t="s">
        <v>74</v>
      </c>
      <c r="C265" s="54"/>
      <c r="D265" s="55"/>
      <c r="E265" s="56">
        <v>1</v>
      </c>
      <c r="F265" s="57">
        <v>1</v>
      </c>
      <c r="G265" s="11"/>
      <c r="H265" s="97" t="s">
        <v>467</v>
      </c>
      <c r="I265" s="97" t="s">
        <v>467</v>
      </c>
      <c r="J265" s="97" t="s">
        <v>467</v>
      </c>
      <c r="K265" s="11"/>
      <c r="L265" s="57"/>
    </row>
    <row r="266" spans="1:12" s="24" customFormat="1" ht="19.95" customHeight="1" x14ac:dyDescent="0.25">
      <c r="A266" s="17"/>
      <c r="B266" s="58" t="s">
        <v>274</v>
      </c>
      <c r="C266" s="54">
        <v>1</v>
      </c>
      <c r="D266" s="55"/>
      <c r="E266" s="56"/>
      <c r="F266" s="57"/>
      <c r="G266" s="11"/>
      <c r="H266" s="97" t="s">
        <v>467</v>
      </c>
      <c r="I266" s="97" t="s">
        <v>467</v>
      </c>
      <c r="J266" s="97" t="s">
        <v>467</v>
      </c>
      <c r="K266" s="11"/>
      <c r="L266" s="57"/>
    </row>
    <row r="267" spans="1:12" s="24" customFormat="1" ht="19.95" customHeight="1" x14ac:dyDescent="0.25">
      <c r="A267" s="17"/>
      <c r="B267" s="53" t="s">
        <v>269</v>
      </c>
      <c r="C267" s="54">
        <v>1</v>
      </c>
      <c r="D267" s="55"/>
      <c r="E267" s="56"/>
      <c r="F267" s="57"/>
      <c r="G267" s="11"/>
      <c r="H267" s="97" t="s">
        <v>467</v>
      </c>
      <c r="I267" s="97" t="s">
        <v>467</v>
      </c>
      <c r="J267" s="97" t="s">
        <v>467</v>
      </c>
      <c r="K267" s="11"/>
      <c r="L267" s="57"/>
    </row>
    <row r="268" spans="1:12" s="24" customFormat="1" ht="19.95" customHeight="1" x14ac:dyDescent="0.25">
      <c r="A268" s="17"/>
      <c r="B268" s="58" t="s">
        <v>23</v>
      </c>
      <c r="C268" s="54"/>
      <c r="D268" s="55"/>
      <c r="E268" s="56">
        <v>1</v>
      </c>
      <c r="F268" s="57">
        <v>1</v>
      </c>
      <c r="G268" s="11"/>
      <c r="H268" s="97" t="s">
        <v>467</v>
      </c>
      <c r="I268" s="97" t="s">
        <v>467</v>
      </c>
      <c r="J268" s="97" t="s">
        <v>467</v>
      </c>
      <c r="K268" s="11"/>
      <c r="L268" s="57"/>
    </row>
    <row r="269" spans="1:12" s="24" customFormat="1" ht="19.95" customHeight="1" x14ac:dyDescent="0.25">
      <c r="A269" s="17"/>
      <c r="B269" s="58" t="s">
        <v>24</v>
      </c>
      <c r="C269" s="54"/>
      <c r="D269" s="55"/>
      <c r="E269" s="56">
        <v>1</v>
      </c>
      <c r="F269" s="57"/>
      <c r="G269" s="11"/>
      <c r="H269" s="97" t="s">
        <v>467</v>
      </c>
      <c r="I269" s="97" t="s">
        <v>467</v>
      </c>
      <c r="J269" s="97" t="s">
        <v>467</v>
      </c>
      <c r="K269" s="11"/>
      <c r="L269" s="57"/>
    </row>
    <row r="270" spans="1:12" s="24" customFormat="1" ht="19.95" customHeight="1" x14ac:dyDescent="0.25">
      <c r="A270" s="17"/>
      <c r="B270" s="58" t="s">
        <v>75</v>
      </c>
      <c r="C270" s="54"/>
      <c r="D270" s="55"/>
      <c r="F270" s="57"/>
      <c r="G270" s="11"/>
      <c r="H270" s="97" t="s">
        <v>467</v>
      </c>
      <c r="I270" s="97" t="s">
        <v>467</v>
      </c>
      <c r="J270" s="97" t="s">
        <v>467</v>
      </c>
      <c r="K270" s="11"/>
      <c r="L270" s="57"/>
    </row>
    <row r="271" spans="1:12" s="24" customFormat="1" ht="19.95" customHeight="1" x14ac:dyDescent="0.25">
      <c r="A271" s="17"/>
      <c r="B271" s="58" t="s">
        <v>76</v>
      </c>
      <c r="C271" s="54"/>
      <c r="D271" s="55"/>
      <c r="E271" s="56">
        <v>1</v>
      </c>
      <c r="F271" s="57">
        <v>1</v>
      </c>
      <c r="G271" s="11"/>
      <c r="H271" s="97" t="s">
        <v>467</v>
      </c>
      <c r="I271" s="97" t="s">
        <v>467</v>
      </c>
      <c r="J271" s="97" t="s">
        <v>467</v>
      </c>
      <c r="K271" s="11"/>
      <c r="L271" s="57"/>
    </row>
    <row r="272" spans="1:12" s="24" customFormat="1" ht="19.95" customHeight="1" x14ac:dyDescent="0.25">
      <c r="A272" s="17"/>
      <c r="B272" s="53" t="s">
        <v>77</v>
      </c>
      <c r="C272" s="54"/>
      <c r="D272" s="55">
        <v>1</v>
      </c>
      <c r="E272" s="56"/>
      <c r="F272" s="57"/>
      <c r="G272" s="11"/>
      <c r="H272" s="97" t="s">
        <v>467</v>
      </c>
      <c r="I272" s="97" t="s">
        <v>467</v>
      </c>
      <c r="J272" s="97" t="s">
        <v>467</v>
      </c>
      <c r="K272" s="11"/>
      <c r="L272" s="57"/>
    </row>
    <row r="273" spans="1:12" s="24" customFormat="1" ht="19.95" customHeight="1" x14ac:dyDescent="0.25">
      <c r="A273" s="17"/>
      <c r="B273" s="53" t="s">
        <v>78</v>
      </c>
      <c r="C273" s="54">
        <v>1</v>
      </c>
      <c r="D273" s="55"/>
      <c r="E273" s="56"/>
      <c r="F273" s="57"/>
      <c r="G273" s="57">
        <v>1</v>
      </c>
      <c r="H273" s="96" t="s">
        <v>476</v>
      </c>
      <c r="I273" s="96" t="s">
        <v>476</v>
      </c>
      <c r="J273" s="96" t="s">
        <v>476</v>
      </c>
      <c r="K273" s="11"/>
      <c r="L273" s="57"/>
    </row>
    <row r="274" spans="1:12" s="24" customFormat="1" ht="19.95" customHeight="1" x14ac:dyDescent="0.25">
      <c r="A274" s="17"/>
      <c r="B274" s="53" t="s">
        <v>79</v>
      </c>
      <c r="C274" s="54">
        <v>1</v>
      </c>
      <c r="D274" s="55"/>
      <c r="E274" s="56"/>
      <c r="F274" s="57"/>
      <c r="G274" s="11"/>
      <c r="H274" s="97" t="s">
        <v>467</v>
      </c>
      <c r="I274" s="97" t="s">
        <v>467</v>
      </c>
      <c r="J274" s="97" t="s">
        <v>467</v>
      </c>
      <c r="K274" s="11"/>
      <c r="L274" s="57"/>
    </row>
    <row r="275" spans="1:12" s="24" customFormat="1" ht="19.95" customHeight="1" x14ac:dyDescent="0.25">
      <c r="A275" s="17"/>
      <c r="B275" s="53" t="s">
        <v>80</v>
      </c>
      <c r="C275" s="54">
        <v>1</v>
      </c>
      <c r="D275" s="55"/>
      <c r="E275" s="56"/>
      <c r="F275" s="57"/>
      <c r="G275" s="11"/>
      <c r="H275" s="97" t="s">
        <v>467</v>
      </c>
      <c r="I275" s="97" t="s">
        <v>467</v>
      </c>
      <c r="J275" s="97" t="s">
        <v>467</v>
      </c>
      <c r="K275" s="11"/>
      <c r="L275" s="57"/>
    </row>
    <row r="276" spans="1:12" s="24" customFormat="1" ht="19.95" customHeight="1" x14ac:dyDescent="0.25">
      <c r="A276" s="17"/>
      <c r="B276" s="53" t="s">
        <v>81</v>
      </c>
      <c r="C276" s="54">
        <v>1</v>
      </c>
      <c r="D276" s="55"/>
      <c r="E276" s="56"/>
      <c r="F276" s="57"/>
      <c r="G276" s="11"/>
      <c r="H276" s="97" t="s">
        <v>467</v>
      </c>
      <c r="I276" s="97" t="s">
        <v>467</v>
      </c>
      <c r="J276" s="97" t="s">
        <v>467</v>
      </c>
      <c r="K276" s="11"/>
      <c r="L276" s="57"/>
    </row>
    <row r="277" spans="1:12" s="24" customFormat="1" ht="19.95" customHeight="1" x14ac:dyDescent="0.25">
      <c r="A277" s="17"/>
      <c r="B277" s="53" t="s">
        <v>82</v>
      </c>
      <c r="C277" s="54"/>
      <c r="D277" s="55"/>
      <c r="E277" s="56">
        <v>2</v>
      </c>
      <c r="F277" s="57"/>
      <c r="G277" s="11"/>
      <c r="H277" s="97" t="s">
        <v>467</v>
      </c>
      <c r="I277" s="97" t="s">
        <v>467</v>
      </c>
      <c r="J277" s="97" t="s">
        <v>467</v>
      </c>
      <c r="K277" s="11"/>
      <c r="L277" s="57"/>
    </row>
    <row r="278" spans="1:12" s="24" customFormat="1" ht="19.95" customHeight="1" x14ac:dyDescent="0.25">
      <c r="A278" s="17"/>
      <c r="B278" s="58" t="s">
        <v>83</v>
      </c>
      <c r="C278" s="54"/>
      <c r="D278" s="55">
        <v>1</v>
      </c>
      <c r="E278" s="56"/>
      <c r="F278" s="57"/>
      <c r="G278" s="11"/>
      <c r="H278" s="97" t="s">
        <v>467</v>
      </c>
      <c r="I278" s="97" t="s">
        <v>467</v>
      </c>
      <c r="J278" s="97" t="s">
        <v>467</v>
      </c>
      <c r="K278" s="11"/>
      <c r="L278" s="57"/>
    </row>
    <row r="279" spans="1:12" s="24" customFormat="1" ht="19.95" customHeight="1" x14ac:dyDescent="0.25">
      <c r="A279" s="17"/>
      <c r="B279" s="58" t="s">
        <v>84</v>
      </c>
      <c r="C279" s="54">
        <v>1</v>
      </c>
      <c r="D279" s="55"/>
      <c r="E279" s="56"/>
      <c r="F279" s="57"/>
      <c r="G279" s="11"/>
      <c r="H279" s="97" t="s">
        <v>467</v>
      </c>
      <c r="I279" s="97" t="s">
        <v>467</v>
      </c>
      <c r="J279" s="97" t="s">
        <v>467</v>
      </c>
      <c r="K279" s="11"/>
      <c r="L279" s="57"/>
    </row>
    <row r="280" spans="1:12" s="24" customFormat="1" ht="19.95" customHeight="1" x14ac:dyDescent="0.25">
      <c r="A280" s="17"/>
      <c r="B280" s="58" t="s">
        <v>85</v>
      </c>
      <c r="C280" s="54">
        <v>1</v>
      </c>
      <c r="D280" s="55"/>
      <c r="E280" s="56"/>
      <c r="F280" s="57"/>
      <c r="G280" s="11"/>
      <c r="H280" s="97" t="s">
        <v>467</v>
      </c>
      <c r="I280" s="97" t="s">
        <v>467</v>
      </c>
      <c r="J280" s="97" t="s">
        <v>467</v>
      </c>
      <c r="K280" s="11"/>
      <c r="L280" s="57"/>
    </row>
    <row r="281" spans="1:12" s="24" customFormat="1" ht="19.95" customHeight="1" x14ac:dyDescent="0.25">
      <c r="A281" s="17"/>
      <c r="B281" s="58" t="s">
        <v>86</v>
      </c>
      <c r="C281" s="54"/>
      <c r="D281" s="55"/>
      <c r="E281" s="56">
        <v>2</v>
      </c>
      <c r="F281" s="57"/>
      <c r="G281" s="11"/>
      <c r="H281" s="97" t="s">
        <v>467</v>
      </c>
      <c r="I281" s="97" t="s">
        <v>467</v>
      </c>
      <c r="J281" s="97" t="s">
        <v>467</v>
      </c>
      <c r="K281" s="11"/>
      <c r="L281" s="57"/>
    </row>
    <row r="282" spans="1:12" s="24" customFormat="1" ht="19.95" customHeight="1" x14ac:dyDescent="0.25">
      <c r="A282" s="17"/>
      <c r="B282" s="60" t="s">
        <v>271</v>
      </c>
      <c r="C282" s="54"/>
      <c r="D282" s="55"/>
      <c r="E282" s="56">
        <v>1</v>
      </c>
      <c r="F282" s="57"/>
      <c r="G282" s="11"/>
      <c r="H282" s="97" t="s">
        <v>467</v>
      </c>
      <c r="I282" s="97" t="s">
        <v>467</v>
      </c>
      <c r="J282" s="97" t="s">
        <v>467</v>
      </c>
      <c r="K282" s="11"/>
      <c r="L282" s="57"/>
    </row>
    <row r="283" spans="1:12" s="24" customFormat="1" ht="19.95" customHeight="1" x14ac:dyDescent="0.25">
      <c r="A283" s="17"/>
      <c r="B283" s="60" t="s">
        <v>270</v>
      </c>
      <c r="C283" s="54"/>
      <c r="D283" s="55"/>
      <c r="E283" s="56">
        <v>1</v>
      </c>
      <c r="F283" s="57"/>
      <c r="G283" s="11"/>
      <c r="H283" s="97" t="s">
        <v>467</v>
      </c>
      <c r="I283" s="97" t="s">
        <v>467</v>
      </c>
      <c r="J283" s="97" t="s">
        <v>467</v>
      </c>
      <c r="K283" s="11"/>
      <c r="L283" s="57"/>
    </row>
    <row r="284" spans="1:12" s="24" customFormat="1" ht="19.95" customHeight="1" x14ac:dyDescent="0.25">
      <c r="A284" s="17"/>
      <c r="B284" s="60" t="s">
        <v>272</v>
      </c>
      <c r="C284" s="54"/>
      <c r="D284" s="55"/>
      <c r="E284" s="56">
        <v>4</v>
      </c>
      <c r="F284" s="57"/>
      <c r="G284" s="11"/>
      <c r="H284" s="97" t="s">
        <v>467</v>
      </c>
      <c r="I284" s="97" t="s">
        <v>467</v>
      </c>
      <c r="J284" s="97" t="s">
        <v>467</v>
      </c>
      <c r="K284" s="11"/>
      <c r="L284" s="57"/>
    </row>
    <row r="285" spans="1:12" s="24" customFormat="1" ht="19.95" customHeight="1" x14ac:dyDescent="0.25">
      <c r="A285" s="59"/>
      <c r="B285" s="60" t="s">
        <v>273</v>
      </c>
      <c r="C285" s="54"/>
      <c r="D285" s="55"/>
      <c r="E285" s="56">
        <v>1</v>
      </c>
      <c r="F285" s="57"/>
      <c r="G285" s="11"/>
      <c r="H285" s="97" t="s">
        <v>467</v>
      </c>
      <c r="I285" s="97" t="s">
        <v>467</v>
      </c>
      <c r="J285" s="97" t="s">
        <v>467</v>
      </c>
      <c r="K285" s="11"/>
      <c r="L285" s="57"/>
    </row>
    <row r="286" spans="1:12" s="24" customFormat="1" ht="19.95" customHeight="1" x14ac:dyDescent="0.25">
      <c r="A286" s="59"/>
      <c r="B286" s="60" t="s">
        <v>87</v>
      </c>
      <c r="C286" s="54"/>
      <c r="D286" s="55"/>
      <c r="E286" s="56">
        <v>1</v>
      </c>
      <c r="F286" s="57">
        <v>1</v>
      </c>
      <c r="G286" s="11"/>
      <c r="H286" s="97" t="s">
        <v>467</v>
      </c>
      <c r="I286" s="97" t="s">
        <v>467</v>
      </c>
      <c r="J286" s="97" t="s">
        <v>467</v>
      </c>
      <c r="K286" s="11"/>
      <c r="L286" s="57"/>
    </row>
    <row r="287" spans="1:12" s="24" customFormat="1" ht="19.95" customHeight="1" x14ac:dyDescent="0.25">
      <c r="A287" s="59"/>
      <c r="B287" s="58"/>
      <c r="C287" s="54"/>
      <c r="D287" s="55"/>
      <c r="E287" s="56"/>
      <c r="F287" s="57"/>
      <c r="G287" s="57"/>
      <c r="H287" s="97" t="s">
        <v>467</v>
      </c>
      <c r="I287" s="97" t="s">
        <v>467</v>
      </c>
      <c r="J287" s="97" t="s">
        <v>467</v>
      </c>
      <c r="K287" s="11"/>
      <c r="L287" s="57"/>
    </row>
    <row r="288" spans="1:12" s="24" customFormat="1" ht="19.95" customHeight="1" x14ac:dyDescent="0.25">
      <c r="A288" s="13">
        <v>2</v>
      </c>
      <c r="B288" s="14" t="s">
        <v>91</v>
      </c>
      <c r="C288" s="7"/>
      <c r="D288" s="8"/>
      <c r="E288" s="9"/>
      <c r="F288" s="10"/>
      <c r="G288" s="57"/>
      <c r="H288" s="11"/>
      <c r="I288" s="11"/>
      <c r="J288" s="11"/>
      <c r="K288" s="11"/>
      <c r="L288" s="10"/>
    </row>
    <row r="289" spans="1:12" s="24" customFormat="1" ht="19.95" customHeight="1" x14ac:dyDescent="0.25">
      <c r="A289" s="16"/>
      <c r="B289" s="14" t="s">
        <v>92</v>
      </c>
      <c r="C289" s="7"/>
      <c r="D289" s="8"/>
      <c r="E289" s="9"/>
      <c r="F289" s="10"/>
      <c r="G289" s="57"/>
      <c r="H289" s="11"/>
      <c r="I289" s="11"/>
      <c r="J289" s="11"/>
      <c r="K289" s="11"/>
      <c r="L289" s="10"/>
    </row>
    <row r="290" spans="1:12" s="24" customFormat="1" ht="19.95" customHeight="1" x14ac:dyDescent="0.25">
      <c r="A290" s="17"/>
      <c r="B290" s="38" t="s">
        <v>100</v>
      </c>
      <c r="C290" s="40">
        <f>1*A288</f>
        <v>2</v>
      </c>
      <c r="D290" s="41"/>
      <c r="E290" s="42"/>
      <c r="F290" s="43"/>
      <c r="G290" s="57">
        <v>2</v>
      </c>
      <c r="H290" s="97" t="s">
        <v>467</v>
      </c>
      <c r="I290" s="97" t="s">
        <v>467</v>
      </c>
      <c r="J290" s="97" t="s">
        <v>467</v>
      </c>
      <c r="K290" s="11"/>
      <c r="L290" s="43"/>
    </row>
    <row r="291" spans="1:12" ht="19.95" customHeight="1" x14ac:dyDescent="0.35">
      <c r="B291" s="38" t="s">
        <v>93</v>
      </c>
      <c r="C291" s="40">
        <f>C290</f>
        <v>2</v>
      </c>
      <c r="D291" s="41"/>
      <c r="E291" s="42"/>
      <c r="F291" s="43"/>
      <c r="G291" s="57"/>
      <c r="H291" s="97" t="s">
        <v>467</v>
      </c>
      <c r="I291" s="97" t="s">
        <v>467</v>
      </c>
      <c r="J291" s="97" t="s">
        <v>467</v>
      </c>
      <c r="K291" s="11"/>
      <c r="L291" s="43"/>
    </row>
    <row r="292" spans="1:12" s="24" customFormat="1" ht="19.95" customHeight="1" x14ac:dyDescent="0.25">
      <c r="A292" s="17"/>
      <c r="B292" s="38" t="s">
        <v>94</v>
      </c>
      <c r="C292" s="40"/>
      <c r="D292" s="41"/>
      <c r="E292" s="42"/>
      <c r="F292" s="43"/>
      <c r="G292" s="57">
        <v>2</v>
      </c>
      <c r="H292" s="96" t="s">
        <v>476</v>
      </c>
      <c r="I292" s="96" t="s">
        <v>476</v>
      </c>
      <c r="J292" s="96" t="s">
        <v>476</v>
      </c>
      <c r="K292" s="11"/>
      <c r="L292" s="43"/>
    </row>
    <row r="293" spans="1:12" s="24" customFormat="1" ht="19.95" customHeight="1" x14ac:dyDescent="0.25">
      <c r="A293" s="17"/>
      <c r="B293" s="38" t="s">
        <v>95</v>
      </c>
      <c r="C293" s="40"/>
      <c r="D293" s="41"/>
      <c r="E293" s="42"/>
      <c r="F293" s="43"/>
      <c r="G293" s="57">
        <v>2</v>
      </c>
      <c r="H293" s="96" t="s">
        <v>476</v>
      </c>
      <c r="I293" s="96" t="s">
        <v>476</v>
      </c>
      <c r="J293" s="96" t="s">
        <v>476</v>
      </c>
      <c r="K293" s="11"/>
      <c r="L293" s="43"/>
    </row>
    <row r="294" spans="1:12" s="24" customFormat="1" ht="19.95" customHeight="1" x14ac:dyDescent="0.25">
      <c r="A294" s="17"/>
      <c r="B294" s="38" t="s">
        <v>96</v>
      </c>
      <c r="C294" s="40">
        <f>C290</f>
        <v>2</v>
      </c>
      <c r="D294" s="41"/>
      <c r="E294" s="42"/>
      <c r="F294" s="43"/>
      <c r="G294" s="57"/>
      <c r="H294" s="97" t="s">
        <v>467</v>
      </c>
      <c r="I294" s="97" t="s">
        <v>467</v>
      </c>
      <c r="J294" s="97" t="s">
        <v>467</v>
      </c>
      <c r="K294" s="11"/>
      <c r="L294" s="43"/>
    </row>
    <row r="295" spans="1:12" s="24" customFormat="1" ht="19.95" customHeight="1" x14ac:dyDescent="0.25">
      <c r="A295" s="16"/>
      <c r="B295" s="28"/>
      <c r="C295" s="16"/>
      <c r="D295" s="29"/>
      <c r="E295" s="30"/>
      <c r="F295" s="31"/>
      <c r="G295" s="57"/>
      <c r="H295" s="32"/>
      <c r="I295" s="32"/>
      <c r="J295" s="32"/>
      <c r="K295" s="11"/>
      <c r="L295" s="31"/>
    </row>
    <row r="296" spans="1:12" s="24" customFormat="1" ht="19.95" customHeight="1" x14ac:dyDescent="0.25">
      <c r="A296" s="13">
        <v>1</v>
      </c>
      <c r="B296" s="14" t="s">
        <v>97</v>
      </c>
      <c r="C296" s="7"/>
      <c r="D296" s="8"/>
      <c r="E296" s="9"/>
      <c r="F296" s="10"/>
      <c r="G296" s="57"/>
      <c r="H296" s="11"/>
      <c r="I296" s="11"/>
      <c r="J296" s="11"/>
      <c r="K296" s="11"/>
      <c r="L296" s="10"/>
    </row>
    <row r="297" spans="1:12" s="24" customFormat="1" ht="19.95" customHeight="1" x14ac:dyDescent="0.25">
      <c r="A297" s="16"/>
      <c r="B297" s="14" t="s">
        <v>98</v>
      </c>
      <c r="C297" s="7"/>
      <c r="D297" s="8"/>
      <c r="E297" s="9"/>
      <c r="F297" s="10"/>
      <c r="G297" s="57"/>
      <c r="H297" s="11"/>
      <c r="I297" s="11"/>
      <c r="J297" s="11"/>
      <c r="K297" s="11"/>
      <c r="L297" s="10"/>
    </row>
    <row r="298" spans="1:12" s="33" customFormat="1" ht="19.95" customHeight="1" x14ac:dyDescent="0.25">
      <c r="A298" s="17"/>
      <c r="B298" s="38" t="s">
        <v>94</v>
      </c>
      <c r="C298" s="40"/>
      <c r="D298" s="41"/>
      <c r="E298" s="9"/>
      <c r="F298" s="43"/>
      <c r="G298" s="57">
        <v>1</v>
      </c>
      <c r="H298" s="96" t="s">
        <v>476</v>
      </c>
      <c r="I298" s="96" t="s">
        <v>476</v>
      </c>
      <c r="J298" s="96" t="s">
        <v>476</v>
      </c>
      <c r="K298" s="11"/>
      <c r="L298" s="43"/>
    </row>
    <row r="299" spans="1:12" ht="19.95" customHeight="1" x14ac:dyDescent="0.35">
      <c r="B299" s="38" t="s">
        <v>99</v>
      </c>
      <c r="C299" s="40"/>
      <c r="D299" s="41"/>
      <c r="E299" s="9"/>
      <c r="F299" s="43"/>
      <c r="G299" s="57">
        <v>1</v>
      </c>
      <c r="H299" s="96" t="s">
        <v>476</v>
      </c>
      <c r="I299" s="96" t="s">
        <v>476</v>
      </c>
      <c r="J299" s="96" t="s">
        <v>476</v>
      </c>
      <c r="K299" s="11"/>
      <c r="L299" s="43"/>
    </row>
    <row r="300" spans="1:12" ht="19.95" customHeight="1" x14ac:dyDescent="0.35">
      <c r="B300" s="38" t="s">
        <v>100</v>
      </c>
      <c r="C300" s="40">
        <v>1</v>
      </c>
      <c r="D300" s="41"/>
      <c r="E300" s="9"/>
      <c r="F300" s="43"/>
      <c r="G300" s="57">
        <v>1</v>
      </c>
      <c r="H300" s="97" t="s">
        <v>467</v>
      </c>
      <c r="I300" s="97" t="s">
        <v>467</v>
      </c>
      <c r="J300" s="97" t="s">
        <v>467</v>
      </c>
      <c r="K300" s="11"/>
      <c r="L300" s="43"/>
    </row>
    <row r="301" spans="1:12" s="24" customFormat="1" ht="19.95" customHeight="1" x14ac:dyDescent="0.25">
      <c r="A301" s="17"/>
      <c r="B301" s="38" t="s">
        <v>93</v>
      </c>
      <c r="C301" s="40">
        <v>1</v>
      </c>
      <c r="D301" s="41"/>
      <c r="E301" s="42"/>
      <c r="F301" s="43"/>
      <c r="G301" s="57"/>
      <c r="H301" s="97" t="s">
        <v>467</v>
      </c>
      <c r="I301" s="97" t="s">
        <v>467</v>
      </c>
      <c r="J301" s="97" t="s">
        <v>467</v>
      </c>
      <c r="K301" s="11"/>
      <c r="L301" s="43"/>
    </row>
    <row r="302" spans="1:12" s="24" customFormat="1" ht="19.95" customHeight="1" x14ac:dyDescent="0.25">
      <c r="A302" s="17"/>
      <c r="B302" s="38" t="s">
        <v>282</v>
      </c>
      <c r="C302" s="40">
        <v>1</v>
      </c>
      <c r="D302" s="41"/>
      <c r="E302" s="42"/>
      <c r="F302" s="43"/>
      <c r="G302" s="57"/>
      <c r="H302" s="97" t="s">
        <v>467</v>
      </c>
      <c r="I302" s="97" t="s">
        <v>467</v>
      </c>
      <c r="J302" s="97" t="s">
        <v>467</v>
      </c>
      <c r="K302" s="11"/>
      <c r="L302" s="43"/>
    </row>
    <row r="303" spans="1:12" s="24" customFormat="1" ht="19.95" customHeight="1" x14ac:dyDescent="0.25">
      <c r="A303" s="16"/>
      <c r="B303" s="28"/>
      <c r="C303" s="16"/>
      <c r="D303" s="29"/>
      <c r="E303" s="30"/>
      <c r="F303" s="31"/>
      <c r="G303" s="57"/>
      <c r="H303" s="32"/>
      <c r="I303" s="32"/>
      <c r="J303" s="32"/>
      <c r="K303" s="11"/>
      <c r="L303" s="31"/>
    </row>
    <row r="304" spans="1:12" s="24" customFormat="1" ht="19.95" customHeight="1" x14ac:dyDescent="0.25">
      <c r="A304" s="13">
        <v>2</v>
      </c>
      <c r="B304" s="14" t="s">
        <v>276</v>
      </c>
      <c r="C304" s="7"/>
      <c r="D304" s="8"/>
      <c r="E304" s="9"/>
      <c r="F304" s="10"/>
      <c r="G304" s="57"/>
      <c r="H304" s="11"/>
      <c r="I304" s="11"/>
      <c r="J304" s="11"/>
      <c r="K304" s="11"/>
      <c r="L304" s="10"/>
    </row>
    <row r="305" spans="1:12" s="24" customFormat="1" ht="19.95" customHeight="1" x14ac:dyDescent="0.25">
      <c r="A305" s="16"/>
      <c r="B305" s="14"/>
      <c r="C305" s="7"/>
      <c r="D305" s="8"/>
      <c r="E305" s="9"/>
      <c r="F305" s="10"/>
      <c r="G305" s="57"/>
      <c r="H305" s="11"/>
      <c r="I305" s="11"/>
      <c r="J305" s="11"/>
      <c r="K305" s="11"/>
      <c r="L305" s="10"/>
    </row>
    <row r="306" spans="1:12" s="24" customFormat="1" ht="19.95" customHeight="1" x14ac:dyDescent="0.25">
      <c r="A306" s="17"/>
      <c r="B306" s="38" t="s">
        <v>43</v>
      </c>
      <c r="C306" s="40">
        <f>1*A304</f>
        <v>2</v>
      </c>
      <c r="D306" s="41"/>
      <c r="E306" s="42"/>
      <c r="F306" s="43"/>
      <c r="G306" s="57"/>
      <c r="H306" s="97" t="s">
        <v>467</v>
      </c>
      <c r="I306" s="97" t="s">
        <v>467</v>
      </c>
      <c r="J306" s="97" t="s">
        <v>467</v>
      </c>
      <c r="K306" s="11"/>
      <c r="L306" s="43"/>
    </row>
    <row r="307" spans="1:12" s="24" customFormat="1" ht="19.95" customHeight="1" x14ac:dyDescent="0.25">
      <c r="A307" s="17"/>
      <c r="B307" s="38"/>
      <c r="C307" s="40"/>
      <c r="D307" s="41"/>
      <c r="E307" s="42"/>
      <c r="F307" s="43"/>
      <c r="G307" s="57"/>
      <c r="H307" s="11"/>
      <c r="I307" s="11"/>
      <c r="J307" s="11"/>
      <c r="K307" s="11"/>
      <c r="L307" s="43"/>
    </row>
    <row r="308" spans="1:12" s="24" customFormat="1" ht="21.6" customHeight="1" x14ac:dyDescent="0.25">
      <c r="A308" s="44"/>
      <c r="B308" s="45" t="s">
        <v>10</v>
      </c>
      <c r="C308" s="46">
        <f>SUM(C219:C306)</f>
        <v>37</v>
      </c>
      <c r="D308" s="46">
        <f>SUM(D219:D302)</f>
        <v>6</v>
      </c>
      <c r="E308" s="46">
        <f>SUM(E219:E302)</f>
        <v>42</v>
      </c>
      <c r="F308" s="46">
        <f>SUM(F219:F302)</f>
        <v>8</v>
      </c>
      <c r="G308" s="46">
        <f>SUM(G219:G302)</f>
        <v>11</v>
      </c>
      <c r="H308" s="46"/>
      <c r="I308" s="46"/>
      <c r="J308" s="46"/>
      <c r="K308" s="46"/>
      <c r="L308" s="46"/>
    </row>
    <row r="309" spans="1:12" s="24" customFormat="1" ht="19.95" customHeight="1" x14ac:dyDescent="0.25">
      <c r="A309" s="16"/>
      <c r="B309" s="28"/>
      <c r="C309" s="49"/>
      <c r="D309" s="49"/>
      <c r="E309" s="50"/>
      <c r="F309" s="49"/>
      <c r="G309" s="49"/>
      <c r="H309" s="49"/>
      <c r="I309" s="49"/>
      <c r="J309" s="49"/>
      <c r="K309" s="49"/>
      <c r="L309" s="49"/>
    </row>
    <row r="310" spans="1:12" s="33" customFormat="1" ht="33.6" customHeight="1" x14ac:dyDescent="0.25">
      <c r="A310" s="36" t="s">
        <v>11</v>
      </c>
      <c r="B310" s="2" t="s">
        <v>1</v>
      </c>
      <c r="C310" s="90" t="s">
        <v>2</v>
      </c>
      <c r="D310" s="90"/>
      <c r="E310" s="90"/>
      <c r="F310" s="90"/>
      <c r="G310" s="90"/>
      <c r="H310" s="95"/>
      <c r="I310" s="95"/>
      <c r="J310" s="95"/>
      <c r="K310" s="95"/>
    </row>
    <row r="311" spans="1:12" s="24" customFormat="1" ht="100.8" customHeight="1" x14ac:dyDescent="0.25">
      <c r="A311" s="1"/>
      <c r="B311" s="6" t="s">
        <v>102</v>
      </c>
      <c r="C311" s="7" t="s">
        <v>4</v>
      </c>
      <c r="D311" s="8" t="s">
        <v>5</v>
      </c>
      <c r="E311" s="9" t="s">
        <v>6</v>
      </c>
      <c r="F311" s="10" t="s">
        <v>7</v>
      </c>
      <c r="G311" s="11" t="s">
        <v>8</v>
      </c>
      <c r="H311" s="11"/>
      <c r="I311" s="11"/>
      <c r="J311" s="11"/>
      <c r="K311" s="11"/>
      <c r="L311" s="10"/>
    </row>
    <row r="312" spans="1:12" customFormat="1" ht="19.95" customHeight="1" x14ac:dyDescent="0.25">
      <c r="A312" s="13">
        <v>1</v>
      </c>
      <c r="B312" s="14" t="s">
        <v>103</v>
      </c>
      <c r="C312" s="7"/>
      <c r="D312" s="8"/>
      <c r="E312" s="9"/>
      <c r="F312" s="10"/>
      <c r="G312" s="11"/>
      <c r="H312" s="11"/>
      <c r="I312" s="11"/>
      <c r="J312" s="11"/>
      <c r="K312" s="11"/>
      <c r="L312" s="10"/>
    </row>
    <row r="313" spans="1:12" s="24" customFormat="1" ht="19.95" customHeight="1" x14ac:dyDescent="0.25">
      <c r="A313" s="16"/>
      <c r="B313" s="14" t="s">
        <v>104</v>
      </c>
      <c r="C313" s="7"/>
      <c r="D313" s="8"/>
      <c r="E313" s="9"/>
      <c r="F313" s="10"/>
      <c r="G313" s="11"/>
      <c r="H313" s="11"/>
      <c r="I313" s="11"/>
      <c r="J313" s="11"/>
      <c r="K313" s="11"/>
      <c r="L313" s="10"/>
    </row>
    <row r="314" spans="1:12" s="12" customFormat="1" ht="19.95" customHeight="1" x14ac:dyDescent="0.3">
      <c r="A314" s="17"/>
      <c r="B314" s="26" t="s">
        <v>105</v>
      </c>
      <c r="C314" s="19"/>
      <c r="D314" s="20"/>
      <c r="E314" s="21">
        <v>2</v>
      </c>
      <c r="F314" s="22"/>
      <c r="G314" s="23"/>
      <c r="H314" s="23"/>
      <c r="I314" s="23"/>
      <c r="J314" s="23"/>
      <c r="K314" s="23"/>
      <c r="L314" s="22"/>
    </row>
    <row r="315" spans="1:12" ht="19.95" customHeight="1" x14ac:dyDescent="0.35">
      <c r="B315" s="51" t="s">
        <v>72</v>
      </c>
      <c r="C315" s="19"/>
      <c r="D315" s="20"/>
      <c r="E315" s="21">
        <v>2</v>
      </c>
      <c r="F315" s="22"/>
      <c r="G315" s="23"/>
      <c r="H315" s="23"/>
      <c r="I315" s="23"/>
      <c r="J315" s="23"/>
      <c r="K315" s="23"/>
      <c r="L315" s="22"/>
    </row>
    <row r="316" spans="1:12" ht="19.95" customHeight="1" x14ac:dyDescent="0.35">
      <c r="B316" s="51" t="s">
        <v>15</v>
      </c>
      <c r="C316" s="19"/>
      <c r="D316" s="20"/>
      <c r="E316" s="21">
        <v>2</v>
      </c>
      <c r="F316" s="22"/>
      <c r="G316" s="23"/>
      <c r="H316" s="23"/>
      <c r="I316" s="23"/>
      <c r="J316" s="23"/>
      <c r="K316" s="23"/>
      <c r="L316" s="22"/>
    </row>
    <row r="317" spans="1:12" s="24" customFormat="1" ht="19.95" customHeight="1" x14ac:dyDescent="0.25">
      <c r="A317" s="17"/>
      <c r="B317" s="26" t="s">
        <v>16</v>
      </c>
      <c r="C317" s="19"/>
      <c r="D317" s="20"/>
      <c r="E317" s="21">
        <v>1</v>
      </c>
      <c r="F317" s="22"/>
      <c r="G317" s="23"/>
      <c r="H317" s="23"/>
      <c r="I317" s="23"/>
      <c r="J317" s="23"/>
      <c r="K317" s="23"/>
      <c r="L317" s="22"/>
    </row>
    <row r="318" spans="1:12" s="24" customFormat="1" ht="19.95" customHeight="1" x14ac:dyDescent="0.25">
      <c r="A318" s="17"/>
      <c r="B318" s="51" t="s">
        <v>17</v>
      </c>
      <c r="C318" s="19"/>
      <c r="D318" s="20"/>
      <c r="E318" s="21">
        <v>1</v>
      </c>
      <c r="F318" s="22"/>
      <c r="G318" s="23"/>
      <c r="H318" s="23"/>
      <c r="I318" s="23"/>
      <c r="J318" s="23"/>
      <c r="K318" s="23"/>
      <c r="L318" s="22"/>
    </row>
    <row r="319" spans="1:12" s="24" customFormat="1" ht="19.95" customHeight="1" x14ac:dyDescent="0.25">
      <c r="A319" s="17"/>
      <c r="B319" s="51" t="s">
        <v>82</v>
      </c>
      <c r="C319" s="19"/>
      <c r="D319" s="20"/>
      <c r="E319" s="21">
        <v>2</v>
      </c>
      <c r="F319" s="22"/>
      <c r="G319" s="23"/>
      <c r="H319" s="23"/>
      <c r="I319" s="23"/>
      <c r="J319" s="23"/>
      <c r="K319" s="23"/>
      <c r="L319" s="22"/>
    </row>
    <row r="320" spans="1:12" s="24" customFormat="1" ht="19.95" customHeight="1" x14ac:dyDescent="0.25">
      <c r="A320" s="17"/>
      <c r="B320" s="51" t="s">
        <v>106</v>
      </c>
      <c r="C320" s="19"/>
      <c r="D320" s="20"/>
      <c r="E320" s="21">
        <v>1</v>
      </c>
      <c r="F320" s="22"/>
      <c r="G320" s="23"/>
      <c r="H320" s="23"/>
      <c r="I320" s="23"/>
      <c r="J320" s="23"/>
      <c r="K320" s="23"/>
      <c r="L320" s="22"/>
    </row>
    <row r="321" spans="1:12" s="24" customFormat="1" ht="19.95" customHeight="1" x14ac:dyDescent="0.25">
      <c r="A321" s="17"/>
      <c r="B321" s="26" t="s">
        <v>107</v>
      </c>
      <c r="C321" s="19"/>
      <c r="D321" s="20">
        <v>1</v>
      </c>
      <c r="E321" s="21"/>
      <c r="F321" s="22"/>
      <c r="G321" s="23"/>
      <c r="H321" s="23"/>
      <c r="I321" s="23"/>
      <c r="J321" s="23"/>
      <c r="K321" s="23"/>
      <c r="L321" s="22"/>
    </row>
    <row r="322" spans="1:12" s="24" customFormat="1" ht="19.95" customHeight="1" x14ac:dyDescent="0.25">
      <c r="A322" s="17"/>
      <c r="B322" s="26" t="s">
        <v>108</v>
      </c>
      <c r="C322" s="19">
        <v>1</v>
      </c>
      <c r="D322" s="20"/>
      <c r="E322" s="21"/>
      <c r="F322" s="22"/>
      <c r="G322" s="23"/>
      <c r="H322" s="23"/>
      <c r="I322" s="23"/>
      <c r="J322" s="23"/>
      <c r="K322" s="23"/>
      <c r="L322" s="22"/>
    </row>
    <row r="323" spans="1:12" s="24" customFormat="1" ht="19.95" customHeight="1" x14ac:dyDescent="0.25">
      <c r="A323" s="17"/>
      <c r="B323" s="26" t="s">
        <v>109</v>
      </c>
      <c r="C323" s="19">
        <v>1</v>
      </c>
      <c r="D323" s="20"/>
      <c r="E323" s="21"/>
      <c r="F323" s="22"/>
      <c r="G323" s="23"/>
      <c r="H323" s="23"/>
      <c r="I323" s="23"/>
      <c r="J323" s="23"/>
      <c r="K323" s="23"/>
      <c r="L323" s="22"/>
    </row>
    <row r="324" spans="1:12" s="24" customFormat="1" ht="19.95" customHeight="1" x14ac:dyDescent="0.25">
      <c r="A324" s="17"/>
      <c r="B324" s="51" t="s">
        <v>275</v>
      </c>
      <c r="C324" s="19">
        <v>1</v>
      </c>
      <c r="D324" s="20"/>
      <c r="E324" s="21"/>
      <c r="F324" s="22"/>
      <c r="G324" s="23"/>
      <c r="H324" s="23"/>
      <c r="I324" s="23"/>
      <c r="J324" s="23"/>
      <c r="K324" s="23"/>
      <c r="L324" s="22"/>
    </row>
    <row r="325" spans="1:12" s="24" customFormat="1" ht="19.95" customHeight="1" x14ac:dyDescent="0.25">
      <c r="A325" s="17"/>
      <c r="B325" s="51" t="s">
        <v>269</v>
      </c>
      <c r="C325" s="19">
        <v>1</v>
      </c>
      <c r="D325" s="20"/>
      <c r="E325" s="21"/>
      <c r="F325" s="22"/>
      <c r="G325" s="23"/>
      <c r="H325" s="23"/>
      <c r="I325" s="23"/>
      <c r="J325" s="23"/>
      <c r="K325" s="23"/>
      <c r="L325" s="22"/>
    </row>
    <row r="326" spans="1:12" s="24" customFormat="1" ht="19.95" customHeight="1" x14ac:dyDescent="0.25">
      <c r="A326" s="17"/>
      <c r="B326" s="26" t="s">
        <v>110</v>
      </c>
      <c r="C326" s="19"/>
      <c r="D326" s="20"/>
      <c r="E326" s="21">
        <v>1</v>
      </c>
      <c r="F326" s="22">
        <v>1</v>
      </c>
      <c r="G326" s="23"/>
      <c r="H326" s="23"/>
      <c r="I326" s="23"/>
      <c r="J326" s="23"/>
      <c r="K326" s="23"/>
      <c r="L326" s="22"/>
    </row>
    <row r="327" spans="1:12" s="24" customFormat="1" ht="19.95" customHeight="1" x14ac:dyDescent="0.25">
      <c r="A327" s="17"/>
      <c r="B327" s="26" t="s">
        <v>24</v>
      </c>
      <c r="C327" s="19"/>
      <c r="D327" s="20"/>
      <c r="E327" s="21">
        <v>1</v>
      </c>
      <c r="F327" s="22"/>
      <c r="G327" s="23"/>
      <c r="H327" s="23"/>
      <c r="I327" s="23"/>
      <c r="J327" s="23"/>
      <c r="K327" s="23"/>
      <c r="L327" s="22"/>
    </row>
    <row r="328" spans="1:12" s="24" customFormat="1" ht="19.95" customHeight="1" x14ac:dyDescent="0.25">
      <c r="A328" s="17"/>
      <c r="B328" s="51" t="s">
        <v>18</v>
      </c>
      <c r="C328" s="19"/>
      <c r="D328" s="20"/>
      <c r="E328" s="21">
        <v>1</v>
      </c>
      <c r="F328" s="22"/>
      <c r="G328" s="23"/>
      <c r="H328" s="23"/>
      <c r="I328" s="23"/>
      <c r="J328" s="23"/>
      <c r="K328" s="23"/>
      <c r="L328" s="22"/>
    </row>
    <row r="329" spans="1:12" s="24" customFormat="1" ht="19.95" customHeight="1" x14ac:dyDescent="0.25">
      <c r="A329" s="17"/>
      <c r="B329" s="51" t="s">
        <v>111</v>
      </c>
      <c r="C329" s="19"/>
      <c r="D329" s="20"/>
      <c r="E329" s="21">
        <v>1</v>
      </c>
      <c r="F329" s="22"/>
      <c r="G329" s="23"/>
      <c r="H329" s="23"/>
      <c r="I329" s="23"/>
      <c r="J329" s="23"/>
      <c r="K329" s="23"/>
      <c r="L329" s="22"/>
    </row>
    <row r="330" spans="1:12" s="24" customFormat="1" ht="19.95" customHeight="1" x14ac:dyDescent="0.25">
      <c r="A330" s="17"/>
      <c r="B330" s="51" t="s">
        <v>112</v>
      </c>
      <c r="C330" s="19"/>
      <c r="D330" s="20">
        <v>1</v>
      </c>
      <c r="E330" s="21"/>
      <c r="F330" s="64">
        <v>1</v>
      </c>
      <c r="G330" s="23"/>
      <c r="H330" s="23"/>
      <c r="I330" s="23"/>
      <c r="J330" s="23"/>
      <c r="K330" s="23"/>
      <c r="L330" s="64"/>
    </row>
    <row r="331" spans="1:12" s="24" customFormat="1" ht="19.95" customHeight="1" x14ac:dyDescent="0.25">
      <c r="A331" s="17"/>
      <c r="B331" s="51" t="s">
        <v>113</v>
      </c>
      <c r="C331" s="19">
        <v>1</v>
      </c>
      <c r="D331" s="20"/>
      <c r="E331" s="21"/>
      <c r="F331" s="64"/>
      <c r="G331" s="23"/>
      <c r="H331" s="23"/>
      <c r="I331" s="23"/>
      <c r="J331" s="23"/>
      <c r="K331" s="23"/>
      <c r="L331" s="64"/>
    </row>
    <row r="332" spans="1:12" s="24" customFormat="1" ht="19.95" customHeight="1" x14ac:dyDescent="0.25">
      <c r="A332" s="17"/>
      <c r="B332" s="51" t="s">
        <v>114</v>
      </c>
      <c r="C332" s="19">
        <v>1</v>
      </c>
      <c r="D332" s="20"/>
      <c r="E332" s="21"/>
      <c r="F332" s="64"/>
      <c r="G332" s="23"/>
      <c r="H332" s="23"/>
      <c r="I332" s="23"/>
      <c r="J332" s="23"/>
      <c r="K332" s="23"/>
      <c r="L332" s="64"/>
    </row>
    <row r="333" spans="1:12" s="24" customFormat="1" ht="19.95" customHeight="1" x14ac:dyDescent="0.25">
      <c r="A333" s="17"/>
      <c r="B333" s="51" t="s">
        <v>115</v>
      </c>
      <c r="C333" s="19">
        <v>1</v>
      </c>
      <c r="D333" s="20"/>
      <c r="E333" s="21"/>
      <c r="F333" s="64"/>
      <c r="G333" s="23"/>
      <c r="H333" s="23"/>
      <c r="I333" s="23"/>
      <c r="J333" s="23"/>
      <c r="K333" s="23"/>
      <c r="L333" s="64"/>
    </row>
    <row r="334" spans="1:12" s="24" customFormat="1" ht="19.95" customHeight="1" x14ac:dyDescent="0.25">
      <c r="A334" s="17"/>
      <c r="B334" s="51" t="s">
        <v>116</v>
      </c>
      <c r="C334" s="19"/>
      <c r="D334" s="20">
        <v>1</v>
      </c>
      <c r="E334" s="21"/>
      <c r="F334" s="64">
        <v>1</v>
      </c>
      <c r="G334" s="23"/>
      <c r="H334" s="23"/>
      <c r="I334" s="23"/>
      <c r="J334" s="23"/>
      <c r="K334" s="23"/>
      <c r="L334" s="64"/>
    </row>
    <row r="335" spans="1:12" s="24" customFormat="1" ht="19.95" customHeight="1" x14ac:dyDescent="0.25">
      <c r="A335" s="17"/>
      <c r="B335" s="51" t="s">
        <v>117</v>
      </c>
      <c r="C335" s="19">
        <v>1</v>
      </c>
      <c r="D335" s="20"/>
      <c r="E335" s="21"/>
      <c r="F335" s="22"/>
      <c r="G335" s="23"/>
      <c r="H335" s="23"/>
      <c r="I335" s="23"/>
      <c r="J335" s="23"/>
      <c r="K335" s="23"/>
      <c r="L335" s="22"/>
    </row>
    <row r="336" spans="1:12" s="24" customFormat="1" ht="19.95" customHeight="1" x14ac:dyDescent="0.25">
      <c r="A336" s="17"/>
      <c r="B336" s="51" t="s">
        <v>118</v>
      </c>
      <c r="C336" s="19">
        <v>1</v>
      </c>
      <c r="D336" s="20"/>
      <c r="E336" s="21"/>
      <c r="F336" s="22"/>
      <c r="G336" s="23"/>
      <c r="H336" s="23"/>
      <c r="I336" s="23"/>
      <c r="J336" s="23"/>
      <c r="K336" s="23"/>
      <c r="L336" s="22"/>
    </row>
    <row r="337" spans="1:12" s="24" customFormat="1" ht="19.95" customHeight="1" x14ac:dyDescent="0.25">
      <c r="A337" s="17"/>
      <c r="B337" s="51" t="s">
        <v>119</v>
      </c>
      <c r="C337" s="19">
        <v>1</v>
      </c>
      <c r="D337" s="20"/>
      <c r="E337" s="21"/>
      <c r="F337" s="22"/>
      <c r="G337" s="23"/>
      <c r="H337" s="23"/>
      <c r="I337" s="23"/>
      <c r="J337" s="23"/>
      <c r="K337" s="23"/>
      <c r="L337" s="22"/>
    </row>
    <row r="338" spans="1:12" s="24" customFormat="1" ht="19.95" customHeight="1" x14ac:dyDescent="0.25">
      <c r="A338" s="16"/>
      <c r="B338" s="28"/>
      <c r="C338" s="19">
        <v>1</v>
      </c>
      <c r="D338" s="20"/>
      <c r="E338" s="21"/>
      <c r="F338" s="22"/>
      <c r="G338" s="23"/>
      <c r="H338" s="23"/>
      <c r="I338" s="23"/>
      <c r="J338" s="23"/>
      <c r="K338" s="23"/>
      <c r="L338" s="22"/>
    </row>
    <row r="339" spans="1:12" s="24" customFormat="1" ht="19.95" customHeight="1" x14ac:dyDescent="0.25">
      <c r="A339" s="13">
        <v>1</v>
      </c>
      <c r="B339" s="14" t="s">
        <v>91</v>
      </c>
      <c r="C339" s="7"/>
      <c r="D339" s="8"/>
      <c r="E339" s="9"/>
      <c r="F339" s="10"/>
      <c r="G339" s="11"/>
      <c r="H339" s="11"/>
      <c r="I339" s="11"/>
      <c r="J339" s="11"/>
      <c r="K339" s="11"/>
      <c r="L339" s="10"/>
    </row>
    <row r="340" spans="1:12" s="24" customFormat="1" ht="19.95" customHeight="1" x14ac:dyDescent="0.25">
      <c r="A340" s="16"/>
      <c r="B340" s="14" t="s">
        <v>120</v>
      </c>
      <c r="C340" s="7"/>
      <c r="D340" s="8"/>
      <c r="E340" s="9"/>
      <c r="F340" s="10"/>
      <c r="G340" s="11"/>
      <c r="H340" s="11"/>
      <c r="I340" s="11"/>
      <c r="J340" s="11"/>
      <c r="K340" s="11"/>
      <c r="L340" s="10"/>
    </row>
    <row r="341" spans="1:12" s="33" customFormat="1" ht="19.95" customHeight="1" x14ac:dyDescent="0.25">
      <c r="A341" s="17"/>
      <c r="B341" s="38" t="s">
        <v>100</v>
      </c>
      <c r="C341" s="40">
        <v>1</v>
      </c>
      <c r="D341" s="41"/>
      <c r="E341" s="42"/>
      <c r="F341" s="43"/>
      <c r="G341" s="23">
        <v>1</v>
      </c>
      <c r="H341" s="23"/>
      <c r="I341" s="23"/>
      <c r="J341" s="23"/>
      <c r="K341" s="23"/>
      <c r="L341" s="43"/>
    </row>
    <row r="342" spans="1:12" ht="19.95" customHeight="1" x14ac:dyDescent="0.35">
      <c r="B342" s="38" t="s">
        <v>93</v>
      </c>
      <c r="C342" s="40">
        <v>1</v>
      </c>
      <c r="D342" s="41"/>
      <c r="E342" s="42"/>
      <c r="F342" s="43"/>
      <c r="G342" s="23"/>
      <c r="H342" s="23"/>
      <c r="I342" s="23"/>
      <c r="J342" s="23"/>
      <c r="K342" s="23"/>
      <c r="L342" s="43"/>
    </row>
    <row r="343" spans="1:12" s="24" customFormat="1" ht="19.95" customHeight="1" x14ac:dyDescent="0.25">
      <c r="A343" s="17"/>
      <c r="B343" s="38" t="s">
        <v>95</v>
      </c>
      <c r="C343" s="40"/>
      <c r="D343" s="41"/>
      <c r="E343" s="42"/>
      <c r="F343" s="43"/>
      <c r="G343" s="23">
        <v>1</v>
      </c>
      <c r="H343" s="23"/>
      <c r="I343" s="23"/>
      <c r="J343" s="23"/>
      <c r="K343" s="23"/>
      <c r="L343" s="43"/>
    </row>
    <row r="344" spans="1:12" s="24" customFormat="1" ht="19.95" customHeight="1" x14ac:dyDescent="0.25">
      <c r="A344" s="17"/>
      <c r="B344" s="38" t="s">
        <v>96</v>
      </c>
      <c r="C344" s="40">
        <v>1</v>
      </c>
      <c r="D344" s="41"/>
      <c r="E344" s="42"/>
      <c r="F344" s="43"/>
      <c r="G344" s="23"/>
      <c r="H344" s="23"/>
      <c r="I344" s="23"/>
      <c r="J344" s="23"/>
      <c r="K344" s="23"/>
      <c r="L344" s="43"/>
    </row>
    <row r="345" spans="1:12" s="24" customFormat="1" ht="19.95" customHeight="1" x14ac:dyDescent="0.25">
      <c r="A345" s="16"/>
      <c r="B345" s="28"/>
      <c r="C345" s="16"/>
      <c r="D345" s="29"/>
      <c r="E345" s="30"/>
      <c r="F345" s="31"/>
      <c r="G345" s="32"/>
      <c r="H345" s="32"/>
      <c r="I345" s="32"/>
      <c r="J345" s="32"/>
      <c r="K345" s="32"/>
      <c r="L345" s="31"/>
    </row>
    <row r="346" spans="1:12" s="24" customFormat="1" ht="19.95" customHeight="1" x14ac:dyDescent="0.25">
      <c r="A346" s="13">
        <v>1</v>
      </c>
      <c r="B346" s="14" t="s">
        <v>97</v>
      </c>
      <c r="C346" s="7"/>
      <c r="D346" s="8"/>
      <c r="E346" s="9"/>
      <c r="F346" s="10"/>
      <c r="G346" s="11"/>
      <c r="H346" s="11"/>
      <c r="I346" s="11"/>
      <c r="J346" s="11"/>
      <c r="K346" s="11"/>
      <c r="L346" s="10"/>
    </row>
    <row r="347" spans="1:12" s="24" customFormat="1" ht="19.95" customHeight="1" x14ac:dyDescent="0.25">
      <c r="A347" s="16"/>
      <c r="B347" s="14" t="s">
        <v>121</v>
      </c>
      <c r="C347" s="7"/>
      <c r="D347" s="8"/>
      <c r="E347" s="9"/>
      <c r="F347" s="10"/>
      <c r="G347" s="11"/>
      <c r="H347" s="11"/>
      <c r="I347" s="11"/>
      <c r="J347" s="11"/>
      <c r="K347" s="11"/>
      <c r="L347" s="10"/>
    </row>
    <row r="348" spans="1:12" s="33" customFormat="1" ht="19.95" customHeight="1" x14ac:dyDescent="0.25">
      <c r="A348" s="17"/>
      <c r="B348" s="38" t="s">
        <v>94</v>
      </c>
      <c r="C348" s="40"/>
      <c r="D348" s="41"/>
      <c r="E348" s="9"/>
      <c r="F348" s="43"/>
      <c r="G348" s="23">
        <v>1</v>
      </c>
      <c r="H348" s="23"/>
      <c r="I348" s="23"/>
      <c r="J348" s="23"/>
      <c r="K348" s="23"/>
      <c r="L348" s="43"/>
    </row>
    <row r="349" spans="1:12" ht="19.95" customHeight="1" x14ac:dyDescent="0.35">
      <c r="B349" s="38" t="s">
        <v>99</v>
      </c>
      <c r="C349" s="40"/>
      <c r="D349" s="41"/>
      <c r="E349" s="9"/>
      <c r="F349" s="43"/>
      <c r="G349" s="23">
        <v>1</v>
      </c>
      <c r="H349" s="23"/>
      <c r="I349" s="23"/>
      <c r="J349" s="23"/>
      <c r="K349" s="23"/>
      <c r="L349" s="43"/>
    </row>
    <row r="350" spans="1:12" ht="19.95" customHeight="1" x14ac:dyDescent="0.35">
      <c r="B350" s="38" t="s">
        <v>100</v>
      </c>
      <c r="C350" s="40">
        <v>1</v>
      </c>
      <c r="D350" s="41"/>
      <c r="E350" s="9"/>
      <c r="F350" s="43"/>
      <c r="G350" s="23">
        <v>1</v>
      </c>
      <c r="H350" s="23"/>
      <c r="I350" s="23"/>
      <c r="J350" s="23"/>
      <c r="K350" s="23"/>
      <c r="L350" s="43"/>
    </row>
    <row r="351" spans="1:12" s="24" customFormat="1" ht="19.95" customHeight="1" x14ac:dyDescent="0.25">
      <c r="A351" s="17"/>
      <c r="B351" s="38" t="s">
        <v>93</v>
      </c>
      <c r="C351" s="40">
        <v>1</v>
      </c>
      <c r="D351" s="41"/>
      <c r="E351" s="42"/>
      <c r="F351" s="43"/>
      <c r="G351" s="23"/>
      <c r="H351" s="23"/>
      <c r="I351" s="23"/>
      <c r="J351" s="23"/>
      <c r="K351" s="23"/>
      <c r="L351" s="43"/>
    </row>
    <row r="352" spans="1:12" s="24" customFormat="1" ht="19.95" customHeight="1" x14ac:dyDescent="0.25">
      <c r="A352" s="17"/>
      <c r="B352" s="38" t="s">
        <v>282</v>
      </c>
      <c r="C352" s="40">
        <v>1</v>
      </c>
      <c r="D352" s="41"/>
      <c r="E352" s="42"/>
      <c r="F352" s="43"/>
      <c r="G352" s="23"/>
      <c r="H352" s="23"/>
      <c r="I352" s="23"/>
      <c r="J352" s="23"/>
      <c r="K352" s="23"/>
      <c r="L352" s="43"/>
    </row>
    <row r="353" spans="1:12" s="24" customFormat="1" ht="19.95" customHeight="1" x14ac:dyDescent="0.25">
      <c r="A353" s="17"/>
      <c r="B353" s="38"/>
      <c r="C353" s="40"/>
      <c r="D353" s="41"/>
      <c r="E353" s="42"/>
      <c r="F353" s="43"/>
      <c r="G353" s="23"/>
      <c r="H353" s="23"/>
      <c r="I353" s="23"/>
      <c r="J353" s="23"/>
      <c r="K353" s="23"/>
      <c r="L353" s="43"/>
    </row>
    <row r="354" spans="1:12" s="24" customFormat="1" ht="19.95" customHeight="1" x14ac:dyDescent="0.25">
      <c r="A354" s="13">
        <v>1</v>
      </c>
      <c r="B354" s="14" t="s">
        <v>25</v>
      </c>
      <c r="C354" s="7"/>
      <c r="D354" s="8"/>
      <c r="E354" s="9"/>
      <c r="F354" s="10"/>
      <c r="G354" s="11"/>
      <c r="H354" s="11"/>
      <c r="I354" s="11"/>
      <c r="J354" s="11"/>
      <c r="K354" s="11"/>
      <c r="L354" s="10"/>
    </row>
    <row r="355" spans="1:12" s="24" customFormat="1" ht="19.95" customHeight="1" x14ac:dyDescent="0.25">
      <c r="A355" s="16"/>
      <c r="B355" s="14" t="s">
        <v>122</v>
      </c>
      <c r="C355" s="7"/>
      <c r="D355" s="8"/>
      <c r="E355" s="9"/>
      <c r="F355" s="10"/>
      <c r="G355" s="11"/>
      <c r="H355" s="11"/>
      <c r="I355" s="11"/>
      <c r="J355" s="11"/>
      <c r="K355" s="11"/>
      <c r="L355" s="10"/>
    </row>
    <row r="356" spans="1:12" s="24" customFormat="1" ht="19.95" customHeight="1" x14ac:dyDescent="0.25">
      <c r="A356" s="17"/>
      <c r="B356" s="38" t="s">
        <v>26</v>
      </c>
      <c r="C356" s="40">
        <v>1</v>
      </c>
      <c r="D356" s="41"/>
      <c r="E356" s="42"/>
      <c r="F356" s="43"/>
      <c r="G356" s="23"/>
      <c r="H356" s="23"/>
      <c r="I356" s="23"/>
      <c r="J356" s="23"/>
      <c r="K356" s="23"/>
      <c r="L356" s="43"/>
    </row>
    <row r="357" spans="1:12" s="24" customFormat="1" ht="19.95" customHeight="1" x14ac:dyDescent="0.25">
      <c r="A357" s="17"/>
      <c r="B357" s="38" t="s">
        <v>27</v>
      </c>
      <c r="C357" s="40">
        <v>1</v>
      </c>
      <c r="D357" s="41"/>
      <c r="E357" s="42"/>
      <c r="F357" s="43"/>
      <c r="G357" s="23"/>
      <c r="H357" s="23"/>
      <c r="I357" s="23"/>
      <c r="J357" s="23"/>
      <c r="K357" s="23"/>
      <c r="L357" s="43"/>
    </row>
    <row r="358" spans="1:12" s="24" customFormat="1" ht="19.95" customHeight="1" x14ac:dyDescent="0.25">
      <c r="A358" s="17"/>
      <c r="B358" s="38"/>
      <c r="C358" s="40"/>
      <c r="D358" s="41"/>
      <c r="E358" s="42"/>
      <c r="F358" s="43"/>
      <c r="G358" s="23"/>
      <c r="H358" s="23"/>
      <c r="I358" s="23"/>
      <c r="J358" s="23"/>
      <c r="K358" s="23"/>
      <c r="L358" s="43"/>
    </row>
    <row r="359" spans="1:12" s="24" customFormat="1" ht="19.95" customHeight="1" x14ac:dyDescent="0.25">
      <c r="A359" s="13">
        <v>1</v>
      </c>
      <c r="B359" s="14" t="s">
        <v>123</v>
      </c>
      <c r="C359" s="7"/>
      <c r="D359" s="8"/>
      <c r="E359" s="9"/>
      <c r="F359" s="10"/>
      <c r="G359" s="11"/>
      <c r="H359" s="11"/>
      <c r="I359" s="11"/>
      <c r="J359" s="11"/>
      <c r="K359" s="11"/>
      <c r="L359" s="10"/>
    </row>
    <row r="360" spans="1:12" s="24" customFormat="1" ht="19.95" customHeight="1" x14ac:dyDescent="0.25">
      <c r="A360" s="16"/>
      <c r="B360" s="14"/>
      <c r="C360" s="7"/>
      <c r="D360" s="8"/>
      <c r="E360" s="9"/>
      <c r="F360" s="10"/>
      <c r="G360" s="11"/>
      <c r="H360" s="11"/>
      <c r="I360" s="11"/>
      <c r="J360" s="11"/>
      <c r="K360" s="11"/>
      <c r="L360" s="10"/>
    </row>
    <row r="361" spans="1:12" s="24" customFormat="1" ht="19.95" customHeight="1" x14ac:dyDescent="0.25">
      <c r="A361" s="17"/>
      <c r="B361" s="38" t="s">
        <v>53</v>
      </c>
      <c r="C361" s="40">
        <v>1</v>
      </c>
      <c r="D361" s="41"/>
      <c r="E361" s="42"/>
      <c r="F361" s="43"/>
      <c r="G361" s="23"/>
      <c r="H361" s="23"/>
      <c r="I361" s="23"/>
      <c r="J361" s="23"/>
      <c r="K361" s="23"/>
      <c r="L361" s="43"/>
    </row>
    <row r="362" spans="1:12" s="24" customFormat="1" ht="19.95" customHeight="1" x14ac:dyDescent="0.25">
      <c r="A362" s="17"/>
      <c r="B362" s="38" t="s">
        <v>54</v>
      </c>
      <c r="C362" s="40">
        <v>1</v>
      </c>
      <c r="D362" s="41"/>
      <c r="E362" s="42"/>
      <c r="F362" s="43"/>
      <c r="G362" s="23"/>
      <c r="H362" s="23"/>
      <c r="I362" s="23"/>
      <c r="J362" s="23"/>
      <c r="K362" s="23"/>
      <c r="L362" s="43"/>
    </row>
    <row r="363" spans="1:12" s="24" customFormat="1" ht="19.95" customHeight="1" x14ac:dyDescent="0.25">
      <c r="A363" s="17"/>
      <c r="B363" s="38" t="s">
        <v>55</v>
      </c>
      <c r="C363" s="40">
        <v>1</v>
      </c>
      <c r="D363" s="41"/>
      <c r="E363" s="42"/>
      <c r="F363" s="43"/>
      <c r="G363" s="23"/>
      <c r="H363" s="23"/>
      <c r="I363" s="23"/>
      <c r="J363" s="23"/>
      <c r="K363" s="23"/>
      <c r="L363" s="43"/>
    </row>
    <row r="364" spans="1:12" s="24" customFormat="1" ht="19.95" customHeight="1" x14ac:dyDescent="0.25">
      <c r="A364" s="16"/>
      <c r="B364" s="28"/>
      <c r="C364" s="16"/>
      <c r="D364" s="29"/>
      <c r="E364" s="30"/>
      <c r="F364" s="31"/>
      <c r="G364" s="32"/>
      <c r="H364" s="32"/>
      <c r="I364" s="32"/>
      <c r="J364" s="32"/>
      <c r="K364" s="32"/>
      <c r="L364" s="31"/>
    </row>
    <row r="365" spans="1:12" s="24" customFormat="1" ht="19.95" customHeight="1" x14ac:dyDescent="0.25">
      <c r="A365" s="44"/>
      <c r="B365" s="45" t="s">
        <v>10</v>
      </c>
      <c r="C365" s="46">
        <f>SUM(C314:C364)</f>
        <v>22</v>
      </c>
      <c r="D365" s="46">
        <f>SUM(D314:D364)</f>
        <v>3</v>
      </c>
      <c r="E365" s="46">
        <f>SUM(E314:E364)</f>
        <v>15</v>
      </c>
      <c r="F365" s="46">
        <f>SUM(F314:F364)</f>
        <v>3</v>
      </c>
      <c r="G365" s="46">
        <f>SUM(G314:G352)</f>
        <v>5</v>
      </c>
      <c r="H365" s="46"/>
      <c r="I365" s="46"/>
      <c r="J365" s="46"/>
      <c r="K365" s="46"/>
      <c r="L365" s="46"/>
    </row>
    <row r="366" spans="1:12" s="24" customFormat="1" ht="19.95" customHeight="1" x14ac:dyDescent="0.25">
      <c r="A366" s="16"/>
      <c r="B366" s="28"/>
      <c r="C366" s="49"/>
      <c r="D366" s="49"/>
      <c r="E366" s="50"/>
      <c r="F366" s="49"/>
      <c r="G366" s="49"/>
      <c r="H366" s="49"/>
      <c r="I366" s="49"/>
      <c r="J366" s="49"/>
      <c r="K366" s="49"/>
      <c r="L366" s="49"/>
    </row>
    <row r="367" spans="1:12" s="24" customFormat="1" ht="36" customHeight="1" x14ac:dyDescent="0.25">
      <c r="A367" s="36" t="s">
        <v>11</v>
      </c>
      <c r="B367" s="2" t="s">
        <v>1</v>
      </c>
      <c r="C367" s="90" t="s">
        <v>2</v>
      </c>
      <c r="D367" s="90"/>
      <c r="E367" s="90"/>
      <c r="F367" s="90"/>
      <c r="G367" s="90"/>
      <c r="H367" s="95"/>
      <c r="I367" s="95"/>
      <c r="J367" s="95"/>
      <c r="K367" s="95"/>
    </row>
    <row r="368" spans="1:12" s="24" customFormat="1" ht="117.6" customHeight="1" x14ac:dyDescent="0.25">
      <c r="A368" s="1"/>
      <c r="B368" s="6" t="s">
        <v>124</v>
      </c>
      <c r="C368" s="7" t="s">
        <v>4</v>
      </c>
      <c r="D368" s="8" t="s">
        <v>5</v>
      </c>
      <c r="E368" s="9" t="s">
        <v>6</v>
      </c>
      <c r="F368" s="10" t="s">
        <v>7</v>
      </c>
      <c r="G368" s="11" t="s">
        <v>8</v>
      </c>
      <c r="H368" s="11"/>
      <c r="I368" s="11"/>
      <c r="J368" s="11"/>
      <c r="K368" s="11"/>
      <c r="L368" s="10"/>
    </row>
    <row r="369" spans="1:12" customFormat="1" ht="19.95" customHeight="1" x14ac:dyDescent="0.25">
      <c r="A369" s="13">
        <v>1</v>
      </c>
      <c r="B369" s="14" t="s">
        <v>103</v>
      </c>
      <c r="C369" s="7"/>
      <c r="D369" s="8"/>
      <c r="E369" s="9"/>
      <c r="F369" s="10"/>
      <c r="G369" s="11"/>
      <c r="H369" s="11"/>
      <c r="I369" s="11"/>
      <c r="J369" s="11"/>
      <c r="K369" s="11"/>
      <c r="L369" s="10"/>
    </row>
    <row r="370" spans="1:12" s="24" customFormat="1" ht="19.95" customHeight="1" x14ac:dyDescent="0.25">
      <c r="A370" s="16"/>
      <c r="B370" s="14" t="s">
        <v>279</v>
      </c>
      <c r="C370" s="7"/>
      <c r="D370" s="8"/>
      <c r="E370" s="9"/>
      <c r="F370" s="10"/>
      <c r="G370" s="11"/>
      <c r="H370" s="11"/>
      <c r="I370" s="11"/>
      <c r="J370" s="11"/>
      <c r="K370" s="11"/>
      <c r="L370" s="10"/>
    </row>
    <row r="371" spans="1:12" s="12" customFormat="1" ht="19.95" customHeight="1" x14ac:dyDescent="0.3">
      <c r="A371" s="17"/>
      <c r="B371" s="39" t="s">
        <v>105</v>
      </c>
      <c r="C371" s="19"/>
      <c r="D371" s="20"/>
      <c r="E371" s="21">
        <v>2</v>
      </c>
      <c r="F371" s="22"/>
      <c r="G371" s="23"/>
      <c r="H371" s="23"/>
      <c r="I371" s="23"/>
      <c r="J371" s="23"/>
      <c r="K371" s="23"/>
      <c r="L371" s="22"/>
    </row>
    <row r="372" spans="1:12" ht="19.95" customHeight="1" x14ac:dyDescent="0.35">
      <c r="B372" s="38" t="s">
        <v>72</v>
      </c>
      <c r="C372" s="19"/>
      <c r="D372" s="20"/>
      <c r="E372" s="21">
        <v>2</v>
      </c>
      <c r="F372" s="22"/>
      <c r="G372" s="23"/>
      <c r="H372" s="23"/>
      <c r="I372" s="23"/>
      <c r="J372" s="23"/>
      <c r="K372" s="23"/>
      <c r="L372" s="22"/>
    </row>
    <row r="373" spans="1:12" ht="19.95" customHeight="1" x14ac:dyDescent="0.35">
      <c r="B373" s="38" t="s">
        <v>15</v>
      </c>
      <c r="C373" s="19"/>
      <c r="D373" s="20"/>
      <c r="E373" s="21">
        <v>2</v>
      </c>
      <c r="F373" s="22"/>
      <c r="G373" s="23"/>
      <c r="H373" s="23"/>
      <c r="I373" s="23"/>
      <c r="J373" s="23"/>
      <c r="K373" s="23"/>
      <c r="L373" s="22"/>
    </row>
    <row r="374" spans="1:12" s="24" customFormat="1" ht="19.95" customHeight="1" x14ac:dyDescent="0.25">
      <c r="A374" s="17"/>
      <c r="B374" s="39" t="s">
        <v>277</v>
      </c>
      <c r="C374" s="19"/>
      <c r="D374" s="20"/>
      <c r="E374" s="21">
        <v>2</v>
      </c>
      <c r="F374" s="22"/>
      <c r="G374" s="23"/>
      <c r="H374" s="23"/>
      <c r="I374" s="23"/>
      <c r="J374" s="23"/>
      <c r="K374" s="23"/>
      <c r="L374" s="22"/>
    </row>
    <row r="375" spans="1:12" s="24" customFormat="1" ht="19.95" customHeight="1" x14ac:dyDescent="0.25">
      <c r="A375" s="17"/>
      <c r="B375" s="38" t="s">
        <v>82</v>
      </c>
      <c r="C375" s="19"/>
      <c r="D375" s="20"/>
      <c r="E375" s="21">
        <v>2</v>
      </c>
      <c r="F375" s="22"/>
      <c r="G375" s="23"/>
      <c r="H375" s="23"/>
      <c r="I375" s="23"/>
      <c r="J375" s="23"/>
      <c r="K375" s="23"/>
      <c r="L375" s="22"/>
    </row>
    <row r="376" spans="1:12" s="24" customFormat="1" ht="19.95" customHeight="1" x14ac:dyDescent="0.25">
      <c r="A376" s="17"/>
      <c r="B376" s="38" t="s">
        <v>106</v>
      </c>
      <c r="C376" s="19"/>
      <c r="D376" s="20"/>
      <c r="E376" s="21">
        <v>1</v>
      </c>
      <c r="F376" s="22"/>
      <c r="G376" s="23"/>
      <c r="H376" s="23"/>
      <c r="I376" s="23"/>
      <c r="J376" s="23"/>
      <c r="K376" s="23"/>
      <c r="L376" s="22"/>
    </row>
    <row r="377" spans="1:12" s="24" customFormat="1" ht="19.95" customHeight="1" x14ac:dyDescent="0.25">
      <c r="A377" s="17"/>
      <c r="B377" s="39" t="s">
        <v>107</v>
      </c>
      <c r="C377" s="19"/>
      <c r="D377" s="20">
        <v>1</v>
      </c>
      <c r="E377" s="21"/>
      <c r="F377" s="22"/>
      <c r="G377" s="23"/>
      <c r="H377" s="23"/>
      <c r="I377" s="23"/>
      <c r="J377" s="23"/>
      <c r="K377" s="23"/>
      <c r="L377" s="22"/>
    </row>
    <row r="378" spans="1:12" s="24" customFormat="1" ht="19.95" customHeight="1" x14ac:dyDescent="0.25">
      <c r="A378" s="17"/>
      <c r="B378" s="39" t="s">
        <v>108</v>
      </c>
      <c r="C378" s="19">
        <v>1</v>
      </c>
      <c r="D378" s="20"/>
      <c r="E378" s="21"/>
      <c r="F378" s="22"/>
      <c r="G378" s="23"/>
      <c r="H378" s="23"/>
      <c r="I378" s="23"/>
      <c r="J378" s="23"/>
      <c r="K378" s="23"/>
      <c r="L378" s="22"/>
    </row>
    <row r="379" spans="1:12" s="24" customFormat="1" ht="19.95" customHeight="1" x14ac:dyDescent="0.25">
      <c r="A379" s="17"/>
      <c r="B379" s="39" t="s">
        <v>109</v>
      </c>
      <c r="C379" s="19">
        <v>1</v>
      </c>
      <c r="D379" s="20"/>
      <c r="E379" s="21"/>
      <c r="F379" s="22"/>
      <c r="G379" s="23"/>
      <c r="H379" s="23"/>
      <c r="I379" s="23"/>
      <c r="J379" s="23"/>
      <c r="K379" s="23"/>
      <c r="L379" s="22"/>
    </row>
    <row r="380" spans="1:12" s="24" customFormat="1" ht="19.95" customHeight="1" x14ac:dyDescent="0.25">
      <c r="A380" s="17"/>
      <c r="B380" s="38" t="s">
        <v>275</v>
      </c>
      <c r="C380" s="19">
        <v>1</v>
      </c>
      <c r="D380" s="20"/>
      <c r="E380" s="21"/>
      <c r="F380" s="22"/>
      <c r="G380" s="23"/>
      <c r="H380" s="23"/>
      <c r="I380" s="23"/>
      <c r="J380" s="23"/>
      <c r="K380" s="23"/>
      <c r="L380" s="22"/>
    </row>
    <row r="381" spans="1:12" s="24" customFormat="1" ht="19.95" customHeight="1" x14ac:dyDescent="0.25">
      <c r="A381" s="17"/>
      <c r="B381" s="38" t="s">
        <v>278</v>
      </c>
      <c r="C381" s="19">
        <v>1</v>
      </c>
      <c r="D381" s="20"/>
      <c r="E381" s="21"/>
      <c r="F381" s="22"/>
      <c r="G381" s="23"/>
      <c r="H381" s="23"/>
      <c r="I381" s="23"/>
      <c r="J381" s="23"/>
      <c r="K381" s="23"/>
      <c r="L381" s="22"/>
    </row>
    <row r="382" spans="1:12" s="24" customFormat="1" ht="19.95" customHeight="1" x14ac:dyDescent="0.25">
      <c r="A382" s="17"/>
      <c r="B382" s="38" t="s">
        <v>125</v>
      </c>
      <c r="C382" s="19">
        <v>1</v>
      </c>
      <c r="D382" s="20"/>
      <c r="E382" s="21"/>
      <c r="F382" s="22"/>
      <c r="G382" s="23"/>
      <c r="H382" s="23"/>
      <c r="I382" s="23"/>
      <c r="J382" s="23"/>
      <c r="K382" s="23"/>
      <c r="L382" s="22"/>
    </row>
    <row r="383" spans="1:12" s="24" customFormat="1" ht="19.95" customHeight="1" x14ac:dyDescent="0.25">
      <c r="A383" s="17"/>
      <c r="B383" s="39" t="s">
        <v>110</v>
      </c>
      <c r="C383" s="19"/>
      <c r="D383" s="20"/>
      <c r="E383" s="21">
        <v>1</v>
      </c>
      <c r="F383" s="22">
        <v>1</v>
      </c>
      <c r="G383" s="23"/>
      <c r="H383" s="23"/>
      <c r="I383" s="23"/>
      <c r="J383" s="23"/>
      <c r="K383" s="23"/>
      <c r="L383" s="22"/>
    </row>
    <row r="384" spans="1:12" s="24" customFormat="1" ht="19.95" customHeight="1" x14ac:dyDescent="0.25">
      <c r="A384" s="17"/>
      <c r="B384" s="39" t="s">
        <v>24</v>
      </c>
      <c r="C384" s="19"/>
      <c r="D384" s="20"/>
      <c r="E384" s="21">
        <v>1</v>
      </c>
      <c r="F384" s="22"/>
      <c r="G384" s="23"/>
      <c r="H384" s="23"/>
      <c r="I384" s="23"/>
      <c r="J384" s="23"/>
      <c r="K384" s="23"/>
      <c r="L384" s="22"/>
    </row>
    <row r="385" spans="1:12" s="24" customFormat="1" ht="19.95" customHeight="1" x14ac:dyDescent="0.25">
      <c r="A385" s="17"/>
      <c r="B385" s="38" t="s">
        <v>18</v>
      </c>
      <c r="C385" s="19"/>
      <c r="D385" s="20"/>
      <c r="E385" s="21">
        <v>1</v>
      </c>
      <c r="F385" s="22"/>
      <c r="G385" s="23"/>
      <c r="H385" s="23"/>
      <c r="I385" s="23"/>
      <c r="J385" s="23"/>
      <c r="K385" s="23"/>
      <c r="L385" s="22"/>
    </row>
    <row r="386" spans="1:12" s="24" customFormat="1" ht="19.95" customHeight="1" x14ac:dyDescent="0.25">
      <c r="A386" s="17"/>
      <c r="B386" s="38" t="s">
        <v>111</v>
      </c>
      <c r="C386" s="19"/>
      <c r="D386" s="20"/>
      <c r="E386" s="21">
        <v>1</v>
      </c>
      <c r="F386" s="22"/>
      <c r="G386" s="23"/>
      <c r="H386" s="23"/>
      <c r="I386" s="23"/>
      <c r="J386" s="23"/>
      <c r="K386" s="23"/>
      <c r="L386" s="22"/>
    </row>
    <row r="387" spans="1:12" s="24" customFormat="1" ht="19.95" customHeight="1" x14ac:dyDescent="0.25">
      <c r="A387" s="17"/>
      <c r="B387" s="38" t="s">
        <v>126</v>
      </c>
      <c r="C387" s="19"/>
      <c r="D387" s="20">
        <v>1</v>
      </c>
      <c r="E387" s="21"/>
      <c r="F387" s="64">
        <v>1</v>
      </c>
      <c r="G387" s="23"/>
      <c r="H387" s="23"/>
      <c r="I387" s="23"/>
      <c r="J387" s="23"/>
      <c r="K387" s="23"/>
      <c r="L387" s="64"/>
    </row>
    <row r="388" spans="1:12" s="24" customFormat="1" ht="19.95" customHeight="1" x14ac:dyDescent="0.25">
      <c r="A388" s="17"/>
      <c r="B388" s="38" t="s">
        <v>113</v>
      </c>
      <c r="C388" s="19">
        <v>1</v>
      </c>
      <c r="D388" s="20"/>
      <c r="E388" s="21"/>
      <c r="F388" s="64"/>
      <c r="G388" s="23"/>
      <c r="H388" s="23"/>
      <c r="I388" s="23"/>
      <c r="J388" s="23"/>
      <c r="K388" s="23"/>
      <c r="L388" s="64"/>
    </row>
    <row r="389" spans="1:12" s="24" customFormat="1" ht="19.95" customHeight="1" x14ac:dyDescent="0.25">
      <c r="A389" s="17"/>
      <c r="B389" s="38" t="s">
        <v>127</v>
      </c>
      <c r="C389" s="19">
        <v>1</v>
      </c>
      <c r="D389" s="20"/>
      <c r="E389" s="21"/>
      <c r="F389" s="64"/>
      <c r="G389" s="23"/>
      <c r="H389" s="23"/>
      <c r="I389" s="23"/>
      <c r="J389" s="23"/>
      <c r="K389" s="23"/>
      <c r="L389" s="64"/>
    </row>
    <row r="390" spans="1:12" s="24" customFormat="1" ht="19.95" customHeight="1" x14ac:dyDescent="0.25">
      <c r="A390" s="17"/>
      <c r="B390" s="38" t="s">
        <v>128</v>
      </c>
      <c r="C390" s="19">
        <v>1</v>
      </c>
      <c r="D390" s="20"/>
      <c r="E390" s="21"/>
      <c r="F390" s="64"/>
      <c r="G390" s="23"/>
      <c r="H390" s="23"/>
      <c r="I390" s="23"/>
      <c r="J390" s="23"/>
      <c r="K390" s="23"/>
      <c r="L390" s="64"/>
    </row>
    <row r="391" spans="1:12" s="24" customFormat="1" ht="19.95" customHeight="1" x14ac:dyDescent="0.25">
      <c r="A391" s="17"/>
      <c r="B391" s="38" t="s">
        <v>116</v>
      </c>
      <c r="C391" s="19"/>
      <c r="D391" s="20">
        <v>1</v>
      </c>
      <c r="E391" s="21"/>
      <c r="F391" s="64">
        <v>1</v>
      </c>
      <c r="G391" s="23"/>
      <c r="H391" s="23"/>
      <c r="I391" s="23"/>
      <c r="J391" s="23"/>
      <c r="K391" s="23"/>
      <c r="L391" s="64"/>
    </row>
    <row r="392" spans="1:12" s="24" customFormat="1" ht="19.95" customHeight="1" x14ac:dyDescent="0.25">
      <c r="A392" s="17"/>
      <c r="B392" s="38" t="s">
        <v>117</v>
      </c>
      <c r="C392" s="19">
        <v>1</v>
      </c>
      <c r="D392" s="20"/>
      <c r="E392" s="21"/>
      <c r="F392" s="22"/>
      <c r="G392" s="23"/>
      <c r="H392" s="23"/>
      <c r="I392" s="23"/>
      <c r="J392" s="23"/>
      <c r="K392" s="23"/>
      <c r="L392" s="22"/>
    </row>
    <row r="393" spans="1:12" s="24" customFormat="1" ht="19.95" customHeight="1" x14ac:dyDescent="0.25">
      <c r="A393" s="17"/>
      <c r="B393" s="38" t="s">
        <v>129</v>
      </c>
      <c r="C393" s="19">
        <v>1</v>
      </c>
      <c r="D393" s="20"/>
      <c r="E393" s="21"/>
      <c r="F393" s="22"/>
      <c r="G393" s="23"/>
      <c r="H393" s="23"/>
      <c r="I393" s="23"/>
      <c r="J393" s="23"/>
      <c r="K393" s="23"/>
      <c r="L393" s="22"/>
    </row>
    <row r="394" spans="1:12" s="24" customFormat="1" ht="19.95" customHeight="1" x14ac:dyDescent="0.25">
      <c r="A394" s="17"/>
      <c r="B394" s="38" t="s">
        <v>119</v>
      </c>
      <c r="C394" s="19">
        <v>1</v>
      </c>
      <c r="D394" s="20"/>
      <c r="E394" s="21"/>
      <c r="F394" s="22"/>
      <c r="G394" s="23"/>
      <c r="H394" s="23"/>
      <c r="I394" s="23"/>
      <c r="J394" s="23"/>
      <c r="K394" s="23"/>
      <c r="L394" s="22"/>
    </row>
    <row r="395" spans="1:12" s="24" customFormat="1" ht="19.95" customHeight="1" x14ac:dyDescent="0.25">
      <c r="A395" s="16"/>
      <c r="B395" s="28"/>
      <c r="C395" s="16"/>
      <c r="D395" s="29"/>
      <c r="E395" s="30"/>
      <c r="F395" s="31"/>
      <c r="G395" s="32"/>
      <c r="H395" s="32"/>
      <c r="I395" s="32"/>
      <c r="J395" s="32"/>
      <c r="K395" s="32"/>
      <c r="L395" s="31"/>
    </row>
    <row r="396" spans="1:12" s="24" customFormat="1" ht="19.95" customHeight="1" x14ac:dyDescent="0.25">
      <c r="A396" s="13">
        <v>1</v>
      </c>
      <c r="B396" s="14" t="s">
        <v>103</v>
      </c>
      <c r="C396" s="7"/>
      <c r="D396" s="8"/>
      <c r="E396" s="9"/>
      <c r="F396" s="10"/>
      <c r="G396" s="11"/>
      <c r="H396" s="11"/>
      <c r="I396" s="11"/>
      <c r="J396" s="11"/>
      <c r="K396" s="11"/>
      <c r="L396" s="10"/>
    </row>
    <row r="397" spans="1:12" s="24" customFormat="1" ht="19.95" customHeight="1" x14ac:dyDescent="0.25">
      <c r="A397" s="16"/>
      <c r="B397" s="14" t="s">
        <v>280</v>
      </c>
      <c r="C397" s="7"/>
      <c r="D397" s="8"/>
      <c r="E397" s="9"/>
      <c r="F397" s="10"/>
      <c r="G397" s="11"/>
      <c r="H397" s="11"/>
      <c r="I397" s="11"/>
      <c r="J397" s="11"/>
      <c r="K397" s="11"/>
      <c r="L397" s="10"/>
    </row>
    <row r="398" spans="1:12" s="33" customFormat="1" ht="19.95" customHeight="1" x14ac:dyDescent="0.25">
      <c r="A398" s="17"/>
      <c r="B398" s="39" t="s">
        <v>105</v>
      </c>
      <c r="C398" s="19"/>
      <c r="D398" s="20"/>
      <c r="E398" s="21">
        <v>2</v>
      </c>
      <c r="F398" s="22"/>
      <c r="G398" s="23"/>
      <c r="H398" s="23"/>
      <c r="I398" s="23"/>
      <c r="J398" s="23"/>
      <c r="K398" s="23"/>
      <c r="L398" s="22"/>
    </row>
    <row r="399" spans="1:12" ht="19.95" customHeight="1" x14ac:dyDescent="0.35">
      <c r="B399" s="38" t="s">
        <v>72</v>
      </c>
      <c r="C399" s="19"/>
      <c r="D399" s="20"/>
      <c r="E399" s="21">
        <v>2</v>
      </c>
      <c r="F399" s="22"/>
      <c r="G399" s="23"/>
      <c r="H399" s="23"/>
      <c r="I399" s="23"/>
      <c r="J399" s="23"/>
      <c r="K399" s="23"/>
      <c r="L399" s="22"/>
    </row>
    <row r="400" spans="1:12" ht="19.95" customHeight="1" x14ac:dyDescent="0.35">
      <c r="B400" s="38" t="s">
        <v>15</v>
      </c>
      <c r="C400" s="19"/>
      <c r="D400" s="20"/>
      <c r="E400" s="21">
        <v>2</v>
      </c>
      <c r="F400" s="22"/>
      <c r="G400" s="23"/>
      <c r="H400" s="23"/>
      <c r="I400" s="23"/>
      <c r="J400" s="23"/>
      <c r="K400" s="23"/>
      <c r="L400" s="22"/>
    </row>
    <row r="401" spans="1:12" s="24" customFormat="1" ht="19.95" customHeight="1" x14ac:dyDescent="0.25">
      <c r="A401" s="17"/>
      <c r="B401" s="39" t="s">
        <v>277</v>
      </c>
      <c r="C401" s="19"/>
      <c r="D401" s="20"/>
      <c r="E401" s="21">
        <v>2</v>
      </c>
      <c r="F401" s="22"/>
      <c r="G401" s="23"/>
      <c r="H401" s="23"/>
      <c r="I401" s="23"/>
      <c r="J401" s="23"/>
      <c r="K401" s="23"/>
      <c r="L401" s="22"/>
    </row>
    <row r="402" spans="1:12" s="24" customFormat="1" ht="19.95" customHeight="1" x14ac:dyDescent="0.25">
      <c r="A402" s="17"/>
      <c r="B402" s="38" t="s">
        <v>82</v>
      </c>
      <c r="C402" s="19"/>
      <c r="D402" s="20"/>
      <c r="E402" s="21">
        <v>2</v>
      </c>
      <c r="F402" s="22"/>
      <c r="G402" s="23"/>
      <c r="H402" s="23"/>
      <c r="I402" s="23"/>
      <c r="J402" s="23"/>
      <c r="K402" s="23"/>
      <c r="L402" s="22"/>
    </row>
    <row r="403" spans="1:12" s="24" customFormat="1" ht="19.95" customHeight="1" x14ac:dyDescent="0.25">
      <c r="A403" s="17"/>
      <c r="B403" s="38" t="s">
        <v>106</v>
      </c>
      <c r="C403" s="19"/>
      <c r="D403" s="20"/>
      <c r="E403" s="21">
        <v>1</v>
      </c>
      <c r="F403" s="22"/>
      <c r="G403" s="23"/>
      <c r="H403" s="23"/>
      <c r="I403" s="23"/>
      <c r="J403" s="23"/>
      <c r="K403" s="23"/>
      <c r="L403" s="22"/>
    </row>
    <row r="404" spans="1:12" s="24" customFormat="1" ht="19.95" customHeight="1" x14ac:dyDescent="0.25">
      <c r="A404" s="17"/>
      <c r="B404" s="39" t="s">
        <v>107</v>
      </c>
      <c r="C404" s="19"/>
      <c r="D404" s="20">
        <v>1</v>
      </c>
      <c r="E404" s="21"/>
      <c r="F404" s="22"/>
      <c r="G404" s="23"/>
      <c r="H404" s="23"/>
      <c r="I404" s="23"/>
      <c r="J404" s="23"/>
      <c r="K404" s="23"/>
      <c r="L404" s="22"/>
    </row>
    <row r="405" spans="1:12" s="24" customFormat="1" ht="19.95" customHeight="1" x14ac:dyDescent="0.25">
      <c r="A405" s="17"/>
      <c r="B405" s="39" t="s">
        <v>108</v>
      </c>
      <c r="C405" s="19">
        <v>1</v>
      </c>
      <c r="D405" s="20"/>
      <c r="E405" s="21"/>
      <c r="F405" s="22"/>
      <c r="G405" s="23"/>
      <c r="H405" s="23"/>
      <c r="I405" s="23"/>
      <c r="J405" s="23"/>
      <c r="K405" s="23"/>
      <c r="L405" s="22"/>
    </row>
    <row r="406" spans="1:12" s="33" customFormat="1" ht="19.95" customHeight="1" x14ac:dyDescent="0.25">
      <c r="A406" s="17"/>
      <c r="B406" s="39" t="s">
        <v>109</v>
      </c>
      <c r="C406" s="19">
        <v>1</v>
      </c>
      <c r="D406" s="20"/>
      <c r="E406" s="21"/>
      <c r="F406" s="22"/>
      <c r="G406" s="23"/>
      <c r="H406" s="23"/>
      <c r="I406" s="23"/>
      <c r="J406" s="23"/>
      <c r="K406" s="23"/>
      <c r="L406" s="22"/>
    </row>
    <row r="407" spans="1:12" s="33" customFormat="1" ht="19.95" customHeight="1" x14ac:dyDescent="0.25">
      <c r="A407" s="17"/>
      <c r="B407" s="38" t="s">
        <v>275</v>
      </c>
      <c r="C407" s="19">
        <v>1</v>
      </c>
      <c r="D407" s="20"/>
      <c r="E407" s="21"/>
      <c r="F407" s="22"/>
      <c r="G407" s="23"/>
      <c r="H407" s="23"/>
      <c r="I407" s="23"/>
      <c r="J407" s="23"/>
      <c r="K407" s="23"/>
      <c r="L407" s="22"/>
    </row>
    <row r="408" spans="1:12" s="33" customFormat="1" ht="19.95" customHeight="1" x14ac:dyDescent="0.25">
      <c r="A408" s="17"/>
      <c r="B408" s="38" t="s">
        <v>278</v>
      </c>
      <c r="C408" s="19">
        <v>1</v>
      </c>
      <c r="D408" s="20"/>
      <c r="E408" s="21"/>
      <c r="F408" s="22"/>
      <c r="G408" s="23"/>
      <c r="H408" s="23"/>
      <c r="I408" s="23"/>
      <c r="J408" s="23"/>
      <c r="K408" s="23"/>
      <c r="L408" s="22"/>
    </row>
    <row r="409" spans="1:12" s="33" customFormat="1" ht="24" customHeight="1" x14ac:dyDescent="0.25">
      <c r="A409" s="17"/>
      <c r="B409" s="38" t="s">
        <v>125</v>
      </c>
      <c r="C409" s="19">
        <v>1</v>
      </c>
      <c r="D409" s="20"/>
      <c r="E409" s="21"/>
      <c r="F409" s="22"/>
      <c r="G409" s="23"/>
      <c r="H409" s="23"/>
      <c r="I409" s="23"/>
      <c r="J409" s="23"/>
      <c r="K409" s="23"/>
      <c r="L409" s="22"/>
    </row>
    <row r="410" spans="1:12" s="24" customFormat="1" ht="24" customHeight="1" x14ac:dyDescent="0.25">
      <c r="A410" s="17"/>
      <c r="B410" s="39" t="s">
        <v>110</v>
      </c>
      <c r="C410" s="19"/>
      <c r="D410" s="20"/>
      <c r="E410" s="21">
        <v>1</v>
      </c>
      <c r="F410" s="22">
        <v>1</v>
      </c>
      <c r="G410" s="23"/>
      <c r="H410" s="23"/>
      <c r="I410" s="23"/>
      <c r="J410" s="23"/>
      <c r="K410" s="23"/>
      <c r="L410" s="22"/>
    </row>
    <row r="411" spans="1:12" s="24" customFormat="1" ht="19.95" customHeight="1" x14ac:dyDescent="0.25">
      <c r="A411" s="17"/>
      <c r="B411" s="39" t="s">
        <v>24</v>
      </c>
      <c r="C411" s="19"/>
      <c r="D411" s="20"/>
      <c r="E411" s="21">
        <v>1</v>
      </c>
      <c r="F411" s="22"/>
      <c r="G411" s="23"/>
      <c r="H411" s="23"/>
      <c r="I411" s="23"/>
      <c r="J411" s="23"/>
      <c r="K411" s="23"/>
      <c r="L411" s="22"/>
    </row>
    <row r="412" spans="1:12" s="24" customFormat="1" ht="19.95" customHeight="1" x14ac:dyDescent="0.25">
      <c r="A412" s="17"/>
      <c r="B412" s="38" t="s">
        <v>18</v>
      </c>
      <c r="C412" s="19"/>
      <c r="D412" s="20"/>
      <c r="E412" s="21">
        <v>1</v>
      </c>
      <c r="F412" s="22"/>
      <c r="G412" s="23"/>
      <c r="H412" s="23"/>
      <c r="I412" s="23"/>
      <c r="J412" s="23"/>
      <c r="K412" s="23"/>
      <c r="L412" s="22"/>
    </row>
    <row r="413" spans="1:12" s="12" customFormat="1" ht="19.95" customHeight="1" x14ac:dyDescent="0.3">
      <c r="A413" s="17"/>
      <c r="B413" s="38" t="s">
        <v>111</v>
      </c>
      <c r="C413" s="19"/>
      <c r="D413" s="20"/>
      <c r="E413" s="21">
        <v>1</v>
      </c>
      <c r="F413" s="22"/>
      <c r="G413" s="23"/>
      <c r="H413" s="23"/>
      <c r="I413" s="23"/>
      <c r="J413" s="23"/>
      <c r="K413" s="23"/>
      <c r="L413" s="22"/>
    </row>
    <row r="414" spans="1:12" ht="19.95" customHeight="1" x14ac:dyDescent="0.35">
      <c r="B414" s="38" t="s">
        <v>126</v>
      </c>
      <c r="C414" s="19"/>
      <c r="D414" s="20">
        <v>1</v>
      </c>
      <c r="E414" s="21"/>
      <c r="F414" s="64">
        <v>1</v>
      </c>
      <c r="G414" s="23"/>
      <c r="H414" s="23"/>
      <c r="I414" s="23"/>
      <c r="J414" s="23"/>
      <c r="K414" s="23"/>
      <c r="L414" s="64"/>
    </row>
    <row r="415" spans="1:12" ht="19.95" customHeight="1" x14ac:dyDescent="0.35">
      <c r="B415" s="38" t="s">
        <v>113</v>
      </c>
      <c r="C415" s="19">
        <v>1</v>
      </c>
      <c r="D415" s="20"/>
      <c r="E415" s="21"/>
      <c r="F415" s="64"/>
      <c r="G415" s="23"/>
      <c r="H415" s="23"/>
      <c r="I415" s="23"/>
      <c r="J415" s="23"/>
      <c r="K415" s="23"/>
      <c r="L415" s="64"/>
    </row>
    <row r="416" spans="1:12" s="24" customFormat="1" ht="19.95" customHeight="1" x14ac:dyDescent="0.25">
      <c r="A416" s="17"/>
      <c r="B416" s="38" t="s">
        <v>127</v>
      </c>
      <c r="C416" s="19">
        <v>1</v>
      </c>
      <c r="D416" s="20"/>
      <c r="E416" s="21"/>
      <c r="F416" s="64"/>
      <c r="G416" s="23"/>
      <c r="H416" s="23"/>
      <c r="I416" s="23"/>
      <c r="J416" s="23"/>
      <c r="K416" s="23"/>
      <c r="L416" s="64"/>
    </row>
    <row r="417" spans="1:12" s="24" customFormat="1" ht="19.95" customHeight="1" x14ac:dyDescent="0.25">
      <c r="A417" s="17"/>
      <c r="B417" s="38" t="s">
        <v>128</v>
      </c>
      <c r="C417" s="19">
        <v>1</v>
      </c>
      <c r="D417" s="20"/>
      <c r="E417" s="21"/>
      <c r="F417" s="64"/>
      <c r="G417" s="23"/>
      <c r="H417" s="23"/>
      <c r="I417" s="23"/>
      <c r="J417" s="23"/>
      <c r="K417" s="23"/>
      <c r="L417" s="64"/>
    </row>
    <row r="418" spans="1:12" s="24" customFormat="1" ht="19.95" customHeight="1" x14ac:dyDescent="0.25">
      <c r="A418" s="17"/>
      <c r="B418" s="38" t="s">
        <v>116</v>
      </c>
      <c r="C418" s="19"/>
      <c r="D418" s="20">
        <v>1</v>
      </c>
      <c r="E418" s="21"/>
      <c r="F418" s="64">
        <v>1</v>
      </c>
      <c r="G418" s="23"/>
      <c r="H418" s="23"/>
      <c r="I418" s="23"/>
      <c r="J418" s="23"/>
      <c r="K418" s="23"/>
      <c r="L418" s="64"/>
    </row>
    <row r="419" spans="1:12" s="24" customFormat="1" ht="19.95" customHeight="1" x14ac:dyDescent="0.25">
      <c r="A419" s="17"/>
      <c r="B419" s="38" t="s">
        <v>117</v>
      </c>
      <c r="C419" s="19">
        <v>1</v>
      </c>
      <c r="D419" s="20"/>
      <c r="E419" s="21"/>
      <c r="F419" s="22"/>
      <c r="G419" s="23"/>
      <c r="H419" s="23"/>
      <c r="I419" s="23"/>
      <c r="J419" s="23"/>
      <c r="K419" s="23"/>
      <c r="L419" s="22"/>
    </row>
    <row r="420" spans="1:12" s="24" customFormat="1" ht="24.6" customHeight="1" x14ac:dyDescent="0.25">
      <c r="A420" s="17"/>
      <c r="B420" s="38" t="s">
        <v>129</v>
      </c>
      <c r="C420" s="19">
        <v>1</v>
      </c>
      <c r="D420" s="20"/>
      <c r="E420" s="21"/>
      <c r="F420" s="22"/>
      <c r="G420" s="23"/>
      <c r="H420" s="23"/>
      <c r="I420" s="23"/>
      <c r="J420" s="23"/>
      <c r="K420" s="23"/>
      <c r="L420" s="22"/>
    </row>
    <row r="421" spans="1:12" s="33" customFormat="1" ht="19.95" customHeight="1" x14ac:dyDescent="0.25">
      <c r="A421" s="17"/>
      <c r="B421" s="38" t="s">
        <v>119</v>
      </c>
      <c r="C421" s="19">
        <v>1</v>
      </c>
      <c r="D421" s="20"/>
      <c r="E421" s="21"/>
      <c r="F421" s="22"/>
      <c r="G421" s="23"/>
      <c r="H421" s="23"/>
      <c r="I421" s="23"/>
      <c r="J421" s="23"/>
      <c r="K421" s="23"/>
      <c r="L421" s="22"/>
    </row>
    <row r="422" spans="1:12" s="33" customFormat="1" ht="19.95" customHeight="1" x14ac:dyDescent="0.25">
      <c r="A422" s="17"/>
      <c r="B422" s="38"/>
      <c r="C422" s="19"/>
      <c r="D422" s="20"/>
      <c r="E422" s="21"/>
      <c r="F422" s="22"/>
      <c r="G422" s="23"/>
      <c r="H422" s="23"/>
      <c r="I422" s="23"/>
      <c r="J422" s="23"/>
      <c r="K422" s="23"/>
      <c r="L422" s="22"/>
    </row>
    <row r="423" spans="1:12" s="33" customFormat="1" ht="19.95" customHeight="1" x14ac:dyDescent="0.25">
      <c r="A423" s="13">
        <v>1</v>
      </c>
      <c r="B423" s="14" t="s">
        <v>103</v>
      </c>
      <c r="C423" s="7"/>
      <c r="D423" s="8"/>
      <c r="E423" s="9"/>
      <c r="F423" s="10"/>
      <c r="G423" s="11"/>
      <c r="H423" s="11"/>
      <c r="I423" s="11"/>
      <c r="J423" s="11"/>
      <c r="K423" s="11"/>
      <c r="L423" s="10"/>
    </row>
    <row r="424" spans="1:12" s="33" customFormat="1" ht="19.95" customHeight="1" x14ac:dyDescent="0.25">
      <c r="A424" s="16"/>
      <c r="B424" s="14" t="s">
        <v>281</v>
      </c>
      <c r="C424" s="7"/>
      <c r="D424" s="8"/>
      <c r="E424" s="9"/>
      <c r="F424" s="10"/>
      <c r="G424" s="11"/>
      <c r="H424" s="11"/>
      <c r="I424" s="11"/>
      <c r="J424" s="11"/>
      <c r="K424" s="11"/>
      <c r="L424" s="10"/>
    </row>
    <row r="425" spans="1:12" ht="19.95" customHeight="1" x14ac:dyDescent="0.35">
      <c r="B425" s="39" t="s">
        <v>107</v>
      </c>
      <c r="C425" s="19"/>
      <c r="D425" s="20">
        <v>1</v>
      </c>
      <c r="E425" s="21"/>
      <c r="F425" s="22"/>
      <c r="G425" s="23"/>
      <c r="H425" s="23"/>
      <c r="I425" s="23"/>
      <c r="J425" s="23"/>
      <c r="K425" s="23"/>
      <c r="L425" s="22"/>
    </row>
    <row r="426" spans="1:12" ht="19.95" customHeight="1" x14ac:dyDescent="0.35">
      <c r="B426" s="39" t="s">
        <v>108</v>
      </c>
      <c r="C426" s="19">
        <v>1</v>
      </c>
      <c r="D426" s="20"/>
      <c r="E426" s="21"/>
      <c r="F426" s="22"/>
      <c r="G426" s="23"/>
      <c r="H426" s="23"/>
      <c r="I426" s="23"/>
      <c r="J426" s="23"/>
      <c r="K426" s="23"/>
      <c r="L426" s="22"/>
    </row>
    <row r="427" spans="1:12" s="24" customFormat="1" ht="19.95" customHeight="1" x14ac:dyDescent="0.25">
      <c r="A427" s="17"/>
      <c r="B427" s="39" t="s">
        <v>109</v>
      </c>
      <c r="C427" s="19">
        <v>1</v>
      </c>
      <c r="D427" s="20"/>
      <c r="E427" s="21"/>
      <c r="F427" s="22"/>
      <c r="G427" s="23"/>
      <c r="H427" s="23"/>
      <c r="I427" s="23"/>
      <c r="J427" s="23"/>
      <c r="K427" s="23"/>
      <c r="L427" s="22"/>
    </row>
    <row r="428" spans="1:12" s="24" customFormat="1" ht="19.95" customHeight="1" x14ac:dyDescent="0.25">
      <c r="A428" s="17"/>
      <c r="B428" s="38" t="s">
        <v>275</v>
      </c>
      <c r="C428" s="19">
        <v>1</v>
      </c>
      <c r="D428" s="20"/>
      <c r="E428" s="21"/>
      <c r="F428" s="22"/>
      <c r="G428" s="23"/>
      <c r="H428" s="23"/>
      <c r="I428" s="23"/>
      <c r="J428" s="23"/>
      <c r="K428" s="23"/>
      <c r="L428" s="22"/>
    </row>
    <row r="429" spans="1:12" s="24" customFormat="1" ht="19.95" customHeight="1" x14ac:dyDescent="0.25">
      <c r="A429" s="17"/>
      <c r="B429" s="38" t="s">
        <v>112</v>
      </c>
      <c r="C429" s="19"/>
      <c r="D429" s="20">
        <v>1</v>
      </c>
      <c r="E429" s="21"/>
      <c r="F429" s="64">
        <v>1</v>
      </c>
      <c r="G429" s="23"/>
      <c r="H429" s="23"/>
      <c r="I429" s="23"/>
      <c r="J429" s="23"/>
      <c r="K429" s="23"/>
      <c r="L429" s="64"/>
    </row>
    <row r="430" spans="1:12" s="24" customFormat="1" ht="19.95" customHeight="1" x14ac:dyDescent="0.25">
      <c r="A430" s="17"/>
      <c r="B430" s="38" t="s">
        <v>113</v>
      </c>
      <c r="C430" s="19">
        <v>1</v>
      </c>
      <c r="D430" s="20"/>
      <c r="E430" s="21"/>
      <c r="F430" s="64"/>
      <c r="G430" s="23"/>
      <c r="H430" s="23"/>
      <c r="I430" s="23"/>
      <c r="J430" s="23"/>
      <c r="K430" s="23"/>
      <c r="L430" s="64"/>
    </row>
    <row r="431" spans="1:12" s="24" customFormat="1" ht="19.95" customHeight="1" x14ac:dyDescent="0.25">
      <c r="A431" s="17"/>
      <c r="B431" s="38" t="s">
        <v>127</v>
      </c>
      <c r="C431" s="19">
        <v>1</v>
      </c>
      <c r="D431" s="20"/>
      <c r="E431" s="21"/>
      <c r="F431" s="64"/>
      <c r="G431" s="23"/>
      <c r="H431" s="23"/>
      <c r="I431" s="23"/>
      <c r="J431" s="23"/>
      <c r="K431" s="23"/>
      <c r="L431" s="64"/>
    </row>
    <row r="432" spans="1:12" s="24" customFormat="1" ht="19.95" customHeight="1" x14ac:dyDescent="0.25">
      <c r="A432" s="17"/>
      <c r="B432" s="38" t="s">
        <v>128</v>
      </c>
      <c r="C432" s="19">
        <v>1</v>
      </c>
      <c r="D432" s="20"/>
      <c r="E432" s="21"/>
      <c r="F432" s="64"/>
      <c r="G432" s="23"/>
      <c r="H432" s="23"/>
      <c r="I432" s="23"/>
      <c r="J432" s="23"/>
      <c r="K432" s="23"/>
      <c r="L432" s="64"/>
    </row>
    <row r="433" spans="1:12" s="33" customFormat="1" ht="19.95" customHeight="1" x14ac:dyDescent="0.25">
      <c r="A433" s="17"/>
      <c r="B433" s="38" t="s">
        <v>116</v>
      </c>
      <c r="C433" s="19"/>
      <c r="D433" s="20">
        <v>1</v>
      </c>
      <c r="E433" s="21"/>
      <c r="F433" s="64">
        <v>1</v>
      </c>
      <c r="G433" s="23"/>
      <c r="H433" s="23"/>
      <c r="I433" s="23"/>
      <c r="J433" s="23"/>
      <c r="K433" s="23"/>
      <c r="L433" s="64"/>
    </row>
    <row r="434" spans="1:12" ht="19.95" customHeight="1" x14ac:dyDescent="0.35">
      <c r="B434" s="38" t="s">
        <v>117</v>
      </c>
      <c r="C434" s="19">
        <v>1</v>
      </c>
      <c r="D434" s="20"/>
      <c r="E434" s="21"/>
      <c r="F434" s="22"/>
      <c r="G434" s="23"/>
      <c r="H434" s="23"/>
      <c r="I434" s="23"/>
      <c r="J434" s="23"/>
      <c r="K434" s="23"/>
      <c r="L434" s="22"/>
    </row>
    <row r="435" spans="1:12" ht="19.95" customHeight="1" x14ac:dyDescent="0.35">
      <c r="B435" s="38" t="s">
        <v>129</v>
      </c>
      <c r="C435" s="19">
        <v>1</v>
      </c>
      <c r="D435" s="20"/>
      <c r="E435" s="21"/>
      <c r="F435" s="22"/>
      <c r="G435" s="23"/>
      <c r="H435" s="23"/>
      <c r="I435" s="23"/>
      <c r="J435" s="23"/>
      <c r="K435" s="23"/>
      <c r="L435" s="22"/>
    </row>
    <row r="436" spans="1:12" s="24" customFormat="1" ht="19.95" customHeight="1" x14ac:dyDescent="0.25">
      <c r="A436" s="17"/>
      <c r="B436" s="38" t="s">
        <v>119</v>
      </c>
      <c r="C436" s="19">
        <v>1</v>
      </c>
      <c r="D436" s="20"/>
      <c r="E436" s="21"/>
      <c r="F436" s="22"/>
      <c r="G436" s="23"/>
      <c r="H436" s="23"/>
      <c r="I436" s="23"/>
      <c r="J436" s="23"/>
      <c r="K436" s="23"/>
      <c r="L436" s="22"/>
    </row>
    <row r="437" spans="1:12" s="24" customFormat="1" ht="19.95" customHeight="1" x14ac:dyDescent="0.25">
      <c r="A437" s="17"/>
      <c r="B437" s="38"/>
      <c r="C437" s="19"/>
      <c r="D437" s="20"/>
      <c r="E437" s="21"/>
      <c r="F437" s="22"/>
      <c r="G437" s="23"/>
      <c r="H437" s="23"/>
      <c r="I437" s="23"/>
      <c r="J437" s="23"/>
      <c r="K437" s="23"/>
      <c r="L437" s="22"/>
    </row>
    <row r="438" spans="1:12" s="24" customFormat="1" ht="19.95" customHeight="1" x14ac:dyDescent="0.25">
      <c r="A438" s="13">
        <v>2</v>
      </c>
      <c r="B438" s="14" t="s">
        <v>248</v>
      </c>
      <c r="C438" s="7"/>
      <c r="D438" s="8"/>
      <c r="E438" s="9"/>
      <c r="F438" s="10"/>
      <c r="G438" s="11"/>
      <c r="H438" s="11"/>
      <c r="I438" s="11"/>
      <c r="J438" s="11"/>
      <c r="K438" s="11"/>
      <c r="L438" s="10"/>
    </row>
    <row r="439" spans="1:12" s="24" customFormat="1" ht="19.95" customHeight="1" x14ac:dyDescent="0.25">
      <c r="A439" s="16"/>
      <c r="B439" s="14" t="s">
        <v>249</v>
      </c>
      <c r="C439" s="7"/>
      <c r="D439" s="8"/>
      <c r="E439" s="9"/>
      <c r="F439" s="10"/>
      <c r="G439" s="11"/>
      <c r="H439" s="11"/>
      <c r="I439" s="11"/>
      <c r="J439" s="11"/>
      <c r="K439" s="11"/>
      <c r="L439" s="10"/>
    </row>
    <row r="440" spans="1:12" s="24" customFormat="1" ht="19.95" customHeight="1" x14ac:dyDescent="0.25">
      <c r="A440" s="17"/>
      <c r="B440" s="38" t="s">
        <v>131</v>
      </c>
      <c r="C440" s="40"/>
      <c r="D440" s="41">
        <f>A438*1</f>
        <v>2</v>
      </c>
      <c r="E440" s="42"/>
      <c r="F440" s="43"/>
      <c r="G440" s="23"/>
      <c r="H440" s="23"/>
      <c r="I440" s="23"/>
      <c r="J440" s="23"/>
      <c r="K440" s="23"/>
      <c r="L440" s="43"/>
    </row>
    <row r="441" spans="1:12" s="24" customFormat="1" ht="19.95" customHeight="1" x14ac:dyDescent="0.25">
      <c r="A441" s="17"/>
      <c r="B441" s="38" t="s">
        <v>132</v>
      </c>
      <c r="C441" s="40">
        <f>D440</f>
        <v>2</v>
      </c>
      <c r="D441" s="41"/>
      <c r="E441" s="42"/>
      <c r="F441" s="43"/>
      <c r="G441" s="23">
        <v>2</v>
      </c>
      <c r="H441" s="23"/>
      <c r="I441" s="23"/>
      <c r="J441" s="23"/>
      <c r="K441" s="23"/>
      <c r="L441" s="43"/>
    </row>
    <row r="442" spans="1:12" s="24" customFormat="1" ht="19.95" customHeight="1" x14ac:dyDescent="0.25">
      <c r="A442" s="17"/>
      <c r="B442" s="38" t="s">
        <v>93</v>
      </c>
      <c r="C442" s="40">
        <f>D440</f>
        <v>2</v>
      </c>
      <c r="D442" s="41"/>
      <c r="E442" s="42"/>
      <c r="F442" s="43"/>
      <c r="G442" s="23"/>
      <c r="H442" s="23"/>
      <c r="I442" s="23"/>
      <c r="J442" s="23"/>
      <c r="K442" s="23"/>
      <c r="L442" s="43"/>
    </row>
    <row r="443" spans="1:12" s="24" customFormat="1" ht="19.95" customHeight="1" x14ac:dyDescent="0.25">
      <c r="A443" s="17"/>
      <c r="B443" s="38" t="s">
        <v>133</v>
      </c>
      <c r="C443" s="40">
        <f>D440</f>
        <v>2</v>
      </c>
      <c r="D443" s="41"/>
      <c r="E443" s="42"/>
      <c r="F443" s="43"/>
      <c r="G443" s="23"/>
      <c r="H443" s="23"/>
      <c r="I443" s="23"/>
      <c r="J443" s="23"/>
      <c r="K443" s="23"/>
      <c r="L443" s="43"/>
    </row>
    <row r="444" spans="1:12" s="24" customFormat="1" ht="19.95" customHeight="1" x14ac:dyDescent="0.25">
      <c r="A444" s="17"/>
      <c r="B444" s="38"/>
      <c r="C444" s="40"/>
      <c r="D444" s="41"/>
      <c r="E444" s="42"/>
      <c r="F444" s="43"/>
      <c r="G444" s="23"/>
      <c r="H444" s="23"/>
      <c r="I444" s="23"/>
      <c r="J444" s="23"/>
      <c r="K444" s="23"/>
      <c r="L444" s="43"/>
    </row>
    <row r="445" spans="1:12" s="24" customFormat="1" ht="19.95" customHeight="1" x14ac:dyDescent="0.25">
      <c r="A445" s="13">
        <v>1</v>
      </c>
      <c r="B445" s="14" t="s">
        <v>25</v>
      </c>
      <c r="C445" s="7"/>
      <c r="D445" s="8"/>
      <c r="E445" s="9"/>
      <c r="F445" s="10"/>
      <c r="G445" s="11"/>
      <c r="H445" s="11"/>
      <c r="I445" s="11"/>
      <c r="J445" s="11"/>
      <c r="K445" s="11"/>
      <c r="L445" s="10"/>
    </row>
    <row r="446" spans="1:12" s="24" customFormat="1" ht="19.95" customHeight="1" x14ac:dyDescent="0.25">
      <c r="A446" s="16"/>
      <c r="B446" s="14" t="s">
        <v>145</v>
      </c>
      <c r="C446" s="7"/>
      <c r="D446" s="8"/>
      <c r="E446" s="9"/>
      <c r="F446" s="10"/>
      <c r="G446" s="11"/>
      <c r="H446" s="11"/>
      <c r="I446" s="11"/>
      <c r="J446" s="11"/>
      <c r="K446" s="11"/>
      <c r="L446" s="10"/>
    </row>
    <row r="447" spans="1:12" s="24" customFormat="1" ht="19.95" customHeight="1" x14ac:dyDescent="0.25">
      <c r="A447" s="17"/>
      <c r="B447" s="38" t="s">
        <v>26</v>
      </c>
      <c r="C447" s="40">
        <v>1</v>
      </c>
      <c r="D447" s="41"/>
      <c r="E447" s="42"/>
      <c r="F447" s="43"/>
      <c r="G447" s="23"/>
      <c r="H447" s="23"/>
      <c r="I447" s="23"/>
      <c r="J447" s="23"/>
      <c r="K447" s="23"/>
      <c r="L447" s="43"/>
    </row>
    <row r="448" spans="1:12" s="24" customFormat="1" ht="19.95" customHeight="1" x14ac:dyDescent="0.25">
      <c r="A448" s="17"/>
      <c r="B448" s="38" t="s">
        <v>27</v>
      </c>
      <c r="C448" s="40">
        <v>1</v>
      </c>
      <c r="D448" s="41"/>
      <c r="E448" s="42"/>
      <c r="F448" s="43"/>
      <c r="G448" s="23"/>
      <c r="H448" s="23"/>
      <c r="I448" s="23"/>
      <c r="J448" s="23"/>
      <c r="K448" s="23"/>
      <c r="L448" s="43"/>
    </row>
    <row r="449" spans="1:12" s="24" customFormat="1" ht="19.95" customHeight="1" x14ac:dyDescent="0.25">
      <c r="A449" s="17"/>
      <c r="B449" s="38"/>
      <c r="C449" s="40"/>
      <c r="D449" s="41"/>
      <c r="E449" s="42"/>
      <c r="F449" s="43"/>
      <c r="G449" s="23"/>
      <c r="H449" s="23"/>
      <c r="I449" s="23"/>
      <c r="J449" s="23"/>
      <c r="K449" s="23"/>
      <c r="L449" s="43"/>
    </row>
    <row r="450" spans="1:12" s="24" customFormat="1" ht="19.95" customHeight="1" x14ac:dyDescent="0.25">
      <c r="A450" s="13">
        <v>1</v>
      </c>
      <c r="B450" s="14" t="s">
        <v>29</v>
      </c>
      <c r="C450" s="7"/>
      <c r="D450" s="8"/>
      <c r="E450" s="9"/>
      <c r="F450" s="10"/>
      <c r="G450" s="11"/>
      <c r="H450" s="11"/>
      <c r="I450" s="11"/>
      <c r="J450" s="11"/>
      <c r="K450" s="11"/>
      <c r="L450" s="10"/>
    </row>
    <row r="451" spans="1:12" s="24" customFormat="1" ht="19.95" customHeight="1" x14ac:dyDescent="0.25">
      <c r="A451" s="16"/>
      <c r="B451" s="14" t="s">
        <v>146</v>
      </c>
      <c r="C451" s="7"/>
      <c r="D451" s="8"/>
      <c r="E451" s="9"/>
      <c r="F451" s="10"/>
      <c r="G451" s="11"/>
      <c r="H451" s="11"/>
      <c r="I451" s="11"/>
      <c r="J451" s="11"/>
      <c r="K451" s="11"/>
      <c r="L451" s="10"/>
    </row>
    <row r="452" spans="1:12" s="24" customFormat="1" ht="19.95" customHeight="1" x14ac:dyDescent="0.25">
      <c r="A452" s="17"/>
      <c r="B452" s="38" t="s">
        <v>26</v>
      </c>
      <c r="C452" s="40">
        <v>1</v>
      </c>
      <c r="D452" s="41"/>
      <c r="E452" s="42"/>
      <c r="F452" s="43"/>
      <c r="G452" s="23"/>
      <c r="H452" s="23"/>
      <c r="I452" s="23"/>
      <c r="J452" s="23"/>
      <c r="K452" s="23"/>
      <c r="L452" s="43"/>
    </row>
    <row r="453" spans="1:12" s="24" customFormat="1" ht="19.95" customHeight="1" x14ac:dyDescent="0.25">
      <c r="A453" s="17"/>
      <c r="B453" s="38" t="s">
        <v>27</v>
      </c>
      <c r="C453" s="40">
        <v>1</v>
      </c>
      <c r="D453" s="41"/>
      <c r="E453" s="42"/>
      <c r="F453" s="43"/>
      <c r="G453" s="23"/>
      <c r="H453" s="23"/>
      <c r="I453" s="23"/>
      <c r="J453" s="23"/>
      <c r="K453" s="23"/>
      <c r="L453" s="43"/>
    </row>
    <row r="454" spans="1:12" s="24" customFormat="1" ht="19.95" customHeight="1" x14ac:dyDescent="0.25">
      <c r="A454" s="44"/>
      <c r="B454" s="45" t="s">
        <v>10</v>
      </c>
      <c r="C454" s="46">
        <f>SUM(C371:C453)</f>
        <v>41</v>
      </c>
      <c r="D454" s="46">
        <f>SUM(D371:D453)</f>
        <v>11</v>
      </c>
      <c r="E454" s="46">
        <f>SUM(E371:E453)</f>
        <v>30</v>
      </c>
      <c r="F454" s="46">
        <f>SUM(F371:F453)</f>
        <v>8</v>
      </c>
      <c r="G454" s="46">
        <f>SUM(G371:G453)</f>
        <v>2</v>
      </c>
      <c r="H454" s="46"/>
      <c r="I454" s="46"/>
      <c r="J454" s="46"/>
      <c r="K454" s="46"/>
      <c r="L454" s="46"/>
    </row>
    <row r="455" spans="1:12" s="24" customFormat="1" ht="19.95" customHeight="1" x14ac:dyDescent="0.25">
      <c r="A455" s="47"/>
      <c r="B455" s="48"/>
      <c r="C455" s="40"/>
      <c r="D455" s="40"/>
      <c r="E455" s="40"/>
      <c r="F455" s="40"/>
      <c r="G455" s="40"/>
      <c r="H455" s="40"/>
      <c r="I455" s="40"/>
      <c r="J455" s="40"/>
      <c r="K455" s="40"/>
      <c r="L455" s="40"/>
    </row>
    <row r="456" spans="1:12" s="24" customFormat="1" ht="19.95" customHeight="1" x14ac:dyDescent="0.25">
      <c r="A456" s="36" t="s">
        <v>11</v>
      </c>
      <c r="B456" s="2" t="s">
        <v>1</v>
      </c>
      <c r="C456" s="90" t="s">
        <v>2</v>
      </c>
      <c r="D456" s="90"/>
      <c r="E456" s="90"/>
      <c r="F456" s="90"/>
      <c r="G456" s="90"/>
      <c r="H456" s="95"/>
      <c r="I456" s="95"/>
      <c r="J456" s="95"/>
      <c r="K456" s="95"/>
    </row>
    <row r="457" spans="1:12" s="24" customFormat="1" ht="99.6" customHeight="1" x14ac:dyDescent="0.25">
      <c r="A457" s="1"/>
      <c r="B457" s="6" t="s">
        <v>136</v>
      </c>
      <c r="C457" s="7" t="s">
        <v>4</v>
      </c>
      <c r="D457" s="8" t="s">
        <v>5</v>
      </c>
      <c r="E457" s="9" t="s">
        <v>6</v>
      </c>
      <c r="F457" s="10" t="s">
        <v>7</v>
      </c>
      <c r="G457" s="11" t="s">
        <v>8</v>
      </c>
      <c r="H457" s="11"/>
      <c r="I457" s="11"/>
      <c r="J457" s="11"/>
      <c r="K457" s="11"/>
      <c r="L457" s="10"/>
    </row>
    <row r="458" spans="1:12" s="24" customFormat="1" ht="19.95" customHeight="1" x14ac:dyDescent="0.25">
      <c r="A458" s="13">
        <v>1</v>
      </c>
      <c r="B458" s="14" t="s">
        <v>91</v>
      </c>
      <c r="C458" s="7"/>
      <c r="D458" s="8"/>
      <c r="E458" s="9"/>
      <c r="F458" s="10"/>
      <c r="G458" s="11"/>
      <c r="H458" s="11"/>
      <c r="I458" s="11"/>
      <c r="J458" s="11"/>
      <c r="K458" s="11"/>
      <c r="L458" s="10"/>
    </row>
    <row r="459" spans="1:12" s="33" customFormat="1" ht="19.95" customHeight="1" x14ac:dyDescent="0.25">
      <c r="A459" s="16"/>
      <c r="B459" s="14" t="s">
        <v>283</v>
      </c>
      <c r="C459" s="7"/>
      <c r="D459" s="8"/>
      <c r="E459" s="9"/>
      <c r="F459" s="10"/>
      <c r="G459" s="11"/>
      <c r="H459" s="11"/>
      <c r="I459" s="11"/>
      <c r="J459" s="11"/>
      <c r="K459" s="11"/>
      <c r="L459" s="10"/>
    </row>
    <row r="460" spans="1:12" ht="19.95" customHeight="1" x14ac:dyDescent="0.35">
      <c r="B460" s="38" t="s">
        <v>100</v>
      </c>
      <c r="C460" s="40">
        <f>1*A458</f>
        <v>1</v>
      </c>
      <c r="D460" s="41"/>
      <c r="E460" s="42"/>
      <c r="F460" s="43"/>
      <c r="G460" s="23">
        <v>1</v>
      </c>
      <c r="H460" s="23"/>
      <c r="I460" s="23"/>
      <c r="J460" s="23"/>
      <c r="K460" s="23"/>
      <c r="L460" s="43"/>
    </row>
    <row r="461" spans="1:12" ht="19.95" customHeight="1" x14ac:dyDescent="0.35">
      <c r="B461" s="38" t="s">
        <v>93</v>
      </c>
      <c r="C461" s="40">
        <f>1*A458</f>
        <v>1</v>
      </c>
      <c r="D461" s="41"/>
      <c r="E461" s="42"/>
      <c r="F461" s="43"/>
      <c r="G461" s="23"/>
      <c r="H461" s="23"/>
      <c r="I461" s="23"/>
      <c r="J461" s="23"/>
      <c r="K461" s="23"/>
      <c r="L461" s="43"/>
    </row>
    <row r="462" spans="1:12" s="24" customFormat="1" ht="19.95" customHeight="1" x14ac:dyDescent="0.25">
      <c r="A462" s="17"/>
      <c r="B462" s="38" t="s">
        <v>95</v>
      </c>
      <c r="C462" s="40"/>
      <c r="D462" s="41"/>
      <c r="E462" s="42"/>
      <c r="F462" s="43"/>
      <c r="G462" s="23">
        <v>3</v>
      </c>
      <c r="H462" s="23"/>
      <c r="I462" s="23"/>
      <c r="J462" s="23"/>
      <c r="K462" s="23"/>
      <c r="L462" s="43"/>
    </row>
    <row r="463" spans="1:12" s="24" customFormat="1" ht="19.95" customHeight="1" x14ac:dyDescent="0.25">
      <c r="A463" s="17"/>
      <c r="B463" s="38" t="s">
        <v>96</v>
      </c>
      <c r="C463" s="40">
        <f>1*A458</f>
        <v>1</v>
      </c>
      <c r="D463" s="41"/>
      <c r="E463" s="42"/>
      <c r="F463" s="43"/>
      <c r="G463" s="23"/>
      <c r="H463" s="23"/>
      <c r="I463" s="23"/>
      <c r="J463" s="23"/>
      <c r="K463" s="23"/>
      <c r="L463" s="43"/>
    </row>
    <row r="464" spans="1:12" s="24" customFormat="1" ht="19.95" customHeight="1" x14ac:dyDescent="0.25">
      <c r="A464" s="16"/>
      <c r="B464" s="28"/>
      <c r="C464" s="16"/>
      <c r="D464" s="29"/>
      <c r="E464" s="30"/>
      <c r="F464" s="31"/>
      <c r="G464" s="32"/>
      <c r="H464" s="32"/>
      <c r="I464" s="32"/>
      <c r="J464" s="32"/>
      <c r="K464" s="32"/>
      <c r="L464" s="31"/>
    </row>
    <row r="465" spans="1:12" s="24" customFormat="1" ht="19.95" customHeight="1" x14ac:dyDescent="0.25">
      <c r="A465" s="13">
        <v>2</v>
      </c>
      <c r="B465" s="14" t="s">
        <v>130</v>
      </c>
      <c r="C465" s="7"/>
      <c r="D465" s="8"/>
      <c r="E465" s="9"/>
      <c r="F465" s="10"/>
      <c r="G465" s="11"/>
      <c r="H465" s="11"/>
      <c r="I465" s="11"/>
      <c r="J465" s="11"/>
      <c r="K465" s="11"/>
      <c r="L465" s="10"/>
    </row>
    <row r="466" spans="1:12" s="24" customFormat="1" ht="30" customHeight="1" x14ac:dyDescent="0.25">
      <c r="A466" s="16"/>
      <c r="B466" s="14" t="s">
        <v>284</v>
      </c>
      <c r="C466" s="7"/>
      <c r="D466" s="8"/>
      <c r="E466" s="9"/>
      <c r="F466" s="10"/>
      <c r="G466" s="11"/>
      <c r="H466" s="11"/>
      <c r="I466" s="11"/>
      <c r="J466" s="11"/>
      <c r="K466" s="11"/>
      <c r="L466" s="10"/>
    </row>
    <row r="467" spans="1:12" s="24" customFormat="1" ht="19.95" customHeight="1" x14ac:dyDescent="0.25">
      <c r="A467" s="17"/>
      <c r="B467" s="38" t="s">
        <v>131</v>
      </c>
      <c r="C467" s="40"/>
      <c r="D467" s="41">
        <f>1*A465</f>
        <v>2</v>
      </c>
      <c r="E467" s="42"/>
      <c r="F467" s="43"/>
      <c r="G467" s="23"/>
      <c r="H467" s="23"/>
      <c r="I467" s="23"/>
      <c r="J467" s="23"/>
      <c r="K467" s="23"/>
      <c r="L467" s="43"/>
    </row>
    <row r="468" spans="1:12" s="24" customFormat="1" ht="19.95" customHeight="1" x14ac:dyDescent="0.25">
      <c r="A468" s="17"/>
      <c r="B468" s="38" t="s">
        <v>100</v>
      </c>
      <c r="C468" s="40">
        <f>1*A465</f>
        <v>2</v>
      </c>
      <c r="D468" s="41"/>
      <c r="E468" s="42"/>
      <c r="F468" s="43"/>
      <c r="G468" s="23">
        <v>2</v>
      </c>
      <c r="H468" s="23"/>
      <c r="I468" s="23"/>
      <c r="J468" s="23"/>
      <c r="K468" s="23"/>
      <c r="L468" s="43"/>
    </row>
    <row r="469" spans="1:12" s="24" customFormat="1" ht="19.95" customHeight="1" x14ac:dyDescent="0.25">
      <c r="A469" s="17"/>
      <c r="B469" s="38" t="s">
        <v>93</v>
      </c>
      <c r="C469" s="40">
        <f>1*A465</f>
        <v>2</v>
      </c>
      <c r="D469" s="41"/>
      <c r="E469" s="42"/>
      <c r="F469" s="43"/>
      <c r="G469" s="23"/>
      <c r="H469" s="23"/>
      <c r="I469" s="23"/>
      <c r="J469" s="23"/>
      <c r="K469" s="23"/>
      <c r="L469" s="43"/>
    </row>
    <row r="470" spans="1:12" s="24" customFormat="1" ht="19.95" customHeight="1" x14ac:dyDescent="0.25">
      <c r="A470" s="17"/>
      <c r="B470" s="38" t="s">
        <v>133</v>
      </c>
      <c r="C470" s="40">
        <f>1*A465</f>
        <v>2</v>
      </c>
      <c r="D470" s="41"/>
      <c r="E470" s="42"/>
      <c r="F470" s="43"/>
      <c r="G470" s="23"/>
      <c r="H470" s="23"/>
      <c r="I470" s="23"/>
      <c r="J470" s="23"/>
      <c r="K470" s="23"/>
      <c r="L470" s="43"/>
    </row>
    <row r="471" spans="1:12" s="24" customFormat="1" ht="19.95" customHeight="1" x14ac:dyDescent="0.25">
      <c r="A471" s="16"/>
      <c r="B471" s="28"/>
      <c r="C471" s="16"/>
      <c r="D471" s="29"/>
      <c r="E471" s="30"/>
      <c r="F471" s="31"/>
      <c r="G471" s="32"/>
      <c r="H471" s="32"/>
      <c r="I471" s="32"/>
      <c r="J471" s="32"/>
      <c r="K471" s="32"/>
      <c r="L471" s="31"/>
    </row>
    <row r="472" spans="1:12" s="24" customFormat="1" ht="19.95" customHeight="1" x14ac:dyDescent="0.25">
      <c r="A472" s="13">
        <v>1</v>
      </c>
      <c r="B472" s="14" t="s">
        <v>137</v>
      </c>
      <c r="C472" s="7"/>
      <c r="D472" s="8"/>
      <c r="E472" s="9"/>
      <c r="F472" s="10"/>
      <c r="G472" s="11"/>
      <c r="H472" s="11"/>
      <c r="I472" s="11"/>
      <c r="J472" s="11"/>
      <c r="K472" s="11"/>
      <c r="L472" s="10"/>
    </row>
    <row r="473" spans="1:12" s="24" customFormat="1" ht="19.95" customHeight="1" x14ac:dyDescent="0.25">
      <c r="A473" s="16"/>
      <c r="B473" s="14" t="s">
        <v>155</v>
      </c>
      <c r="C473" s="7"/>
      <c r="D473" s="8"/>
      <c r="E473" s="9"/>
      <c r="F473" s="10"/>
      <c r="G473" s="11"/>
      <c r="H473" s="11"/>
      <c r="I473" s="11"/>
      <c r="J473" s="11"/>
      <c r="K473" s="11"/>
      <c r="L473" s="10"/>
    </row>
    <row r="474" spans="1:12" s="24" customFormat="1" ht="19.95" customHeight="1" x14ac:dyDescent="0.25">
      <c r="A474" s="17"/>
      <c r="B474" s="38" t="s">
        <v>100</v>
      </c>
      <c r="C474" s="40">
        <f>1*A472</f>
        <v>1</v>
      </c>
      <c r="D474" s="41"/>
      <c r="E474" s="42"/>
      <c r="F474" s="43"/>
      <c r="G474" s="23">
        <v>1</v>
      </c>
      <c r="H474" s="23"/>
      <c r="I474" s="23"/>
      <c r="J474" s="23"/>
      <c r="K474" s="23"/>
      <c r="L474" s="43"/>
    </row>
    <row r="475" spans="1:12" s="24" customFormat="1" ht="19.95" customHeight="1" x14ac:dyDescent="0.25">
      <c r="A475" s="17"/>
      <c r="B475" s="38" t="s">
        <v>93</v>
      </c>
      <c r="C475" s="40">
        <f>1*A472</f>
        <v>1</v>
      </c>
      <c r="D475" s="41"/>
      <c r="E475" s="42"/>
      <c r="F475" s="43"/>
      <c r="G475" s="23"/>
      <c r="H475" s="23"/>
      <c r="I475" s="23"/>
      <c r="J475" s="23"/>
      <c r="K475" s="23"/>
      <c r="L475" s="43"/>
    </row>
    <row r="476" spans="1:12" s="33" customFormat="1" ht="19.95" customHeight="1" x14ac:dyDescent="0.25">
      <c r="A476" s="17"/>
      <c r="B476" s="38" t="s">
        <v>95</v>
      </c>
      <c r="C476" s="40"/>
      <c r="D476" s="41"/>
      <c r="E476" s="42"/>
      <c r="F476" s="43"/>
      <c r="G476" s="23">
        <v>2</v>
      </c>
      <c r="H476" s="23"/>
      <c r="I476" s="23"/>
      <c r="J476" s="23"/>
      <c r="K476" s="23"/>
      <c r="L476" s="43"/>
    </row>
    <row r="477" spans="1:12" ht="19.95" customHeight="1" x14ac:dyDescent="0.35">
      <c r="B477" s="38" t="s">
        <v>96</v>
      </c>
      <c r="C477" s="40">
        <f>1*A472</f>
        <v>1</v>
      </c>
      <c r="D477" s="41"/>
      <c r="E477" s="42"/>
      <c r="F477" s="43"/>
      <c r="G477" s="23"/>
      <c r="H477" s="23"/>
      <c r="I477" s="23"/>
      <c r="J477" s="23"/>
      <c r="K477" s="23"/>
      <c r="L477" s="43"/>
    </row>
    <row r="478" spans="1:12" ht="19.95" customHeight="1" x14ac:dyDescent="0.35">
      <c r="A478" s="16"/>
      <c r="B478" s="28"/>
      <c r="C478" s="16"/>
      <c r="D478" s="29"/>
      <c r="E478" s="30"/>
      <c r="F478" s="31"/>
      <c r="G478" s="32"/>
      <c r="H478" s="32"/>
      <c r="I478" s="32"/>
      <c r="J478" s="32"/>
      <c r="K478" s="32"/>
      <c r="L478" s="31"/>
    </row>
    <row r="479" spans="1:12" ht="19.95" customHeight="1" x14ac:dyDescent="0.35">
      <c r="A479" s="13">
        <v>1</v>
      </c>
      <c r="B479" s="14" t="s">
        <v>147</v>
      </c>
      <c r="C479" s="7"/>
      <c r="D479" s="8"/>
      <c r="E479" s="9"/>
      <c r="F479" s="10"/>
      <c r="G479" s="11"/>
      <c r="H479" s="11"/>
      <c r="I479" s="11"/>
      <c r="J479" s="11"/>
      <c r="K479" s="11"/>
      <c r="L479" s="10"/>
    </row>
    <row r="480" spans="1:12" ht="19.95" customHeight="1" x14ac:dyDescent="0.35">
      <c r="A480" s="16"/>
      <c r="B480" s="14"/>
      <c r="C480" s="7"/>
      <c r="D480" s="8"/>
      <c r="E480" s="9"/>
      <c r="F480" s="10"/>
      <c r="G480" s="11"/>
      <c r="H480" s="11"/>
      <c r="I480" s="11"/>
      <c r="J480" s="11"/>
      <c r="K480" s="11"/>
      <c r="L480" s="10"/>
    </row>
    <row r="481" spans="1:12" s="24" customFormat="1" ht="19.95" customHeight="1" x14ac:dyDescent="0.25">
      <c r="A481" s="17"/>
      <c r="B481" s="38" t="s">
        <v>148</v>
      </c>
      <c r="C481" s="40">
        <v>3</v>
      </c>
      <c r="D481" s="41"/>
      <c r="E481" s="42"/>
      <c r="F481" s="43"/>
      <c r="G481" s="23"/>
      <c r="H481" s="23"/>
      <c r="I481" s="23"/>
      <c r="J481" s="23"/>
      <c r="K481" s="23"/>
      <c r="L481" s="43"/>
    </row>
    <row r="482" spans="1:12" s="24" customFormat="1" ht="19.95" customHeight="1" x14ac:dyDescent="0.25">
      <c r="A482" s="17"/>
      <c r="B482" s="38" t="s">
        <v>135</v>
      </c>
      <c r="C482" s="40">
        <v>3</v>
      </c>
      <c r="D482" s="41"/>
      <c r="E482" s="42"/>
      <c r="F482" s="43"/>
      <c r="G482" s="23"/>
      <c r="H482" s="23"/>
      <c r="I482" s="23"/>
      <c r="J482" s="23"/>
      <c r="K482" s="23"/>
      <c r="L482" s="43"/>
    </row>
    <row r="483" spans="1:12" s="33" customFormat="1" ht="19.95" customHeight="1" x14ac:dyDescent="0.25">
      <c r="A483" s="17"/>
      <c r="B483" s="38" t="s">
        <v>149</v>
      </c>
      <c r="C483" s="40">
        <v>3</v>
      </c>
      <c r="D483" s="41"/>
      <c r="E483" s="42"/>
      <c r="F483" s="43"/>
      <c r="G483" s="23"/>
      <c r="H483" s="23"/>
      <c r="I483" s="23"/>
      <c r="J483" s="23"/>
      <c r="K483" s="23"/>
      <c r="L483" s="43"/>
    </row>
    <row r="484" spans="1:12" s="33" customFormat="1" ht="19.95" customHeight="1" x14ac:dyDescent="0.25">
      <c r="A484" s="17"/>
      <c r="B484" s="38"/>
      <c r="C484" s="40"/>
      <c r="D484" s="41"/>
      <c r="E484" s="42"/>
      <c r="F484" s="43"/>
      <c r="G484" s="23"/>
      <c r="H484" s="23"/>
      <c r="I484" s="23"/>
      <c r="J484" s="23"/>
      <c r="K484" s="23"/>
      <c r="L484" s="43"/>
    </row>
    <row r="485" spans="1:12" s="12" customFormat="1" ht="19.95" customHeight="1" x14ac:dyDescent="0.3">
      <c r="A485" s="13">
        <v>1</v>
      </c>
      <c r="B485" s="14" t="s">
        <v>150</v>
      </c>
      <c r="C485" s="7"/>
      <c r="D485" s="8"/>
      <c r="E485" s="9"/>
      <c r="F485" s="10"/>
      <c r="G485" s="11"/>
      <c r="H485" s="11"/>
      <c r="I485" s="11"/>
      <c r="J485" s="11"/>
      <c r="K485" s="11"/>
      <c r="L485" s="10"/>
    </row>
    <row r="486" spans="1:12" ht="19.95" customHeight="1" x14ac:dyDescent="0.35">
      <c r="A486" s="16"/>
      <c r="B486" s="14"/>
      <c r="C486" s="7"/>
      <c r="D486" s="8"/>
      <c r="E486" s="9"/>
      <c r="F486" s="10"/>
      <c r="G486" s="11"/>
      <c r="H486" s="11"/>
      <c r="I486" s="11"/>
      <c r="J486" s="11"/>
      <c r="K486" s="11"/>
      <c r="L486" s="10"/>
    </row>
    <row r="487" spans="1:12" s="24" customFormat="1" ht="19.95" customHeight="1" x14ac:dyDescent="0.25">
      <c r="A487" s="17"/>
      <c r="B487" s="38" t="s">
        <v>134</v>
      </c>
      <c r="C487" s="40">
        <v>2</v>
      </c>
      <c r="D487" s="41"/>
      <c r="E487" s="42"/>
      <c r="F487" s="43"/>
      <c r="G487" s="23"/>
      <c r="H487" s="23"/>
      <c r="I487" s="23"/>
      <c r="J487" s="23"/>
      <c r="K487" s="23"/>
      <c r="L487" s="43"/>
    </row>
    <row r="488" spans="1:12" s="24" customFormat="1" ht="19.95" customHeight="1" x14ac:dyDescent="0.25">
      <c r="A488" s="17"/>
      <c r="B488" s="38" t="s">
        <v>135</v>
      </c>
      <c r="C488" s="40">
        <v>2</v>
      </c>
      <c r="D488" s="41"/>
      <c r="E488" s="42"/>
      <c r="F488" s="43"/>
      <c r="G488" s="23"/>
      <c r="H488" s="23"/>
      <c r="I488" s="23"/>
      <c r="J488" s="23"/>
      <c r="K488" s="23"/>
      <c r="L488" s="43"/>
    </row>
    <row r="489" spans="1:12" s="24" customFormat="1" ht="19.95" customHeight="1" x14ac:dyDescent="0.25">
      <c r="A489" s="16"/>
      <c r="B489" s="28"/>
      <c r="C489" s="16"/>
      <c r="D489" s="29"/>
      <c r="E489" s="30"/>
      <c r="F489" s="31"/>
      <c r="G489" s="32"/>
      <c r="H489" s="32"/>
      <c r="I489" s="32"/>
      <c r="J489" s="32"/>
      <c r="K489" s="32"/>
      <c r="L489" s="31"/>
    </row>
    <row r="490" spans="1:12" s="24" customFormat="1" ht="19.95" customHeight="1" x14ac:dyDescent="0.25">
      <c r="A490" s="13">
        <v>1</v>
      </c>
      <c r="B490" s="14" t="s">
        <v>151</v>
      </c>
      <c r="C490" s="7"/>
      <c r="D490" s="8"/>
      <c r="E490" s="9"/>
      <c r="F490" s="10"/>
      <c r="G490" s="11"/>
      <c r="H490" s="11"/>
      <c r="I490" s="11"/>
      <c r="J490" s="11"/>
      <c r="K490" s="11"/>
      <c r="L490" s="10"/>
    </row>
    <row r="491" spans="1:12" s="24" customFormat="1" ht="19.95" customHeight="1" x14ac:dyDescent="0.25">
      <c r="A491" s="16"/>
      <c r="B491" s="14"/>
      <c r="C491" s="7"/>
      <c r="D491" s="8"/>
      <c r="E491" s="9"/>
      <c r="F491" s="10"/>
      <c r="G491" s="11"/>
      <c r="H491" s="11"/>
      <c r="I491" s="11"/>
      <c r="J491" s="11"/>
      <c r="K491" s="11"/>
      <c r="L491" s="10"/>
    </row>
    <row r="492" spans="1:12" ht="19.95" customHeight="1" x14ac:dyDescent="0.35">
      <c r="B492" s="38" t="s">
        <v>134</v>
      </c>
      <c r="C492" s="40">
        <v>2</v>
      </c>
      <c r="D492" s="41"/>
      <c r="E492" s="42"/>
      <c r="F492" s="43"/>
      <c r="G492" s="23"/>
      <c r="H492" s="23"/>
      <c r="I492" s="23"/>
      <c r="J492" s="23"/>
      <c r="K492" s="23"/>
      <c r="L492" s="43"/>
    </row>
    <row r="493" spans="1:12" ht="19.95" customHeight="1" x14ac:dyDescent="0.35">
      <c r="B493" s="38" t="s">
        <v>135</v>
      </c>
      <c r="C493" s="40">
        <v>2</v>
      </c>
      <c r="D493" s="41"/>
      <c r="E493" s="42"/>
      <c r="F493" s="43"/>
      <c r="G493" s="23"/>
      <c r="H493" s="23"/>
      <c r="I493" s="23"/>
      <c r="J493" s="23"/>
      <c r="K493" s="23"/>
      <c r="L493" s="43"/>
    </row>
    <row r="494" spans="1:12" s="24" customFormat="1" ht="19.95" customHeight="1" x14ac:dyDescent="0.25">
      <c r="A494" s="16"/>
      <c r="B494" s="28"/>
      <c r="C494" s="16"/>
      <c r="D494" s="29"/>
      <c r="E494" s="30"/>
      <c r="F494" s="31"/>
      <c r="G494" s="32"/>
      <c r="H494" s="32"/>
      <c r="I494" s="32"/>
      <c r="J494" s="32"/>
      <c r="K494" s="32"/>
      <c r="L494" s="31"/>
    </row>
    <row r="495" spans="1:12" s="24" customFormat="1" ht="19.95" customHeight="1" x14ac:dyDescent="0.25">
      <c r="A495" s="13">
        <v>1</v>
      </c>
      <c r="B495" s="14" t="s">
        <v>285</v>
      </c>
      <c r="C495" s="7"/>
      <c r="D495" s="8"/>
      <c r="E495" s="9"/>
      <c r="F495" s="10"/>
      <c r="G495" s="11"/>
      <c r="H495" s="11"/>
      <c r="I495" s="11"/>
      <c r="J495" s="11"/>
      <c r="K495" s="11"/>
      <c r="L495" s="10"/>
    </row>
    <row r="496" spans="1:12" s="24" customFormat="1" ht="19.95" customHeight="1" x14ac:dyDescent="0.25">
      <c r="A496" s="16"/>
      <c r="B496" s="14"/>
      <c r="C496" s="7"/>
      <c r="D496" s="8"/>
      <c r="E496" s="9"/>
      <c r="F496" s="10"/>
      <c r="G496" s="11"/>
      <c r="H496" s="11"/>
      <c r="I496" s="11"/>
      <c r="J496" s="11"/>
      <c r="K496" s="11"/>
      <c r="L496" s="10"/>
    </row>
    <row r="497" spans="1:12" s="24" customFormat="1" ht="19.95" customHeight="1" x14ac:dyDescent="0.25">
      <c r="A497" s="17"/>
      <c r="B497" s="38" t="s">
        <v>286</v>
      </c>
      <c r="C497" s="40">
        <v>1</v>
      </c>
      <c r="D497" s="41"/>
      <c r="E497" s="42"/>
      <c r="F497" s="43"/>
      <c r="G497" s="23"/>
      <c r="H497" s="23"/>
      <c r="I497" s="23"/>
      <c r="J497" s="23"/>
      <c r="K497" s="23"/>
      <c r="L497" s="43"/>
    </row>
    <row r="498" spans="1:12" s="24" customFormat="1" ht="19.95" customHeight="1" x14ac:dyDescent="0.25">
      <c r="A498" s="17"/>
      <c r="B498" s="38" t="s">
        <v>287</v>
      </c>
      <c r="C498" s="40">
        <v>1</v>
      </c>
      <c r="D498" s="41"/>
      <c r="E498" s="42"/>
      <c r="F498" s="43"/>
      <c r="G498" s="23"/>
      <c r="H498" s="23"/>
      <c r="I498" s="23"/>
      <c r="J498" s="23"/>
      <c r="K498" s="23"/>
      <c r="L498" s="43"/>
    </row>
    <row r="499" spans="1:12" s="24" customFormat="1" ht="19.95" customHeight="1" x14ac:dyDescent="0.25">
      <c r="A499" s="17"/>
      <c r="B499" s="38"/>
      <c r="C499" s="40"/>
      <c r="D499" s="41"/>
      <c r="E499" s="42"/>
      <c r="F499" s="43"/>
      <c r="G499" s="23"/>
      <c r="H499" s="23"/>
      <c r="I499" s="23"/>
      <c r="J499" s="23"/>
      <c r="K499" s="23"/>
      <c r="L499" s="43"/>
    </row>
    <row r="500" spans="1:12" s="24" customFormat="1" ht="19.95" customHeight="1" x14ac:dyDescent="0.25">
      <c r="A500" s="13">
        <v>1</v>
      </c>
      <c r="B500" s="14" t="s">
        <v>152</v>
      </c>
      <c r="C500" s="7"/>
      <c r="D500" s="8"/>
      <c r="E500" s="9"/>
      <c r="F500" s="10"/>
      <c r="G500" s="11"/>
      <c r="H500" s="11"/>
      <c r="I500" s="11"/>
      <c r="J500" s="11"/>
      <c r="K500" s="11"/>
      <c r="L500" s="10"/>
    </row>
    <row r="501" spans="1:12" s="33" customFormat="1" ht="19.95" customHeight="1" x14ac:dyDescent="0.25">
      <c r="A501" s="16"/>
      <c r="B501" s="14"/>
      <c r="C501" s="7"/>
      <c r="D501" s="8"/>
      <c r="E501" s="9"/>
      <c r="F501" s="10"/>
      <c r="G501" s="11"/>
      <c r="H501" s="11"/>
      <c r="I501" s="11"/>
      <c r="J501" s="11"/>
      <c r="K501" s="11"/>
      <c r="L501" s="10"/>
    </row>
    <row r="502" spans="1:12" ht="19.95" customHeight="1" x14ac:dyDescent="0.35">
      <c r="B502" s="38" t="s">
        <v>153</v>
      </c>
      <c r="C502" s="40">
        <v>1</v>
      </c>
      <c r="D502" s="41"/>
      <c r="E502" s="42"/>
      <c r="F502" s="43"/>
      <c r="G502" s="23"/>
      <c r="H502" s="23"/>
      <c r="I502" s="23"/>
      <c r="J502" s="23"/>
      <c r="K502" s="23"/>
      <c r="L502" s="43"/>
    </row>
    <row r="503" spans="1:12" ht="19.95" customHeight="1" x14ac:dyDescent="0.35">
      <c r="C503" s="40"/>
      <c r="D503" s="41"/>
      <c r="E503" s="42"/>
      <c r="F503" s="43"/>
      <c r="G503" s="23"/>
      <c r="H503" s="23"/>
      <c r="I503" s="23"/>
      <c r="J503" s="23"/>
      <c r="K503" s="23"/>
      <c r="L503" s="43"/>
    </row>
    <row r="504" spans="1:12" s="24" customFormat="1" ht="19.95" customHeight="1" x14ac:dyDescent="0.25">
      <c r="A504" s="13">
        <v>2</v>
      </c>
      <c r="B504" s="14" t="s">
        <v>156</v>
      </c>
      <c r="C504" s="7"/>
      <c r="D504" s="8"/>
      <c r="E504" s="9"/>
      <c r="F504" s="10"/>
      <c r="G504" s="11"/>
      <c r="H504" s="11"/>
      <c r="I504" s="11"/>
      <c r="J504" s="11"/>
      <c r="K504" s="11"/>
      <c r="L504" s="10"/>
    </row>
    <row r="505" spans="1:12" s="24" customFormat="1" ht="19.95" customHeight="1" x14ac:dyDescent="0.25">
      <c r="A505" s="16"/>
      <c r="B505" s="14"/>
      <c r="C505" s="7"/>
      <c r="D505" s="8"/>
      <c r="E505" s="9"/>
      <c r="F505" s="10"/>
      <c r="G505" s="11"/>
      <c r="H505" s="11"/>
      <c r="I505" s="11"/>
      <c r="J505" s="11"/>
      <c r="K505" s="11"/>
      <c r="L505" s="10"/>
    </row>
    <row r="506" spans="1:12" s="24" customFormat="1" ht="19.95" customHeight="1" x14ac:dyDescent="0.25">
      <c r="A506" s="17"/>
      <c r="B506" s="38" t="s">
        <v>157</v>
      </c>
      <c r="C506" s="40"/>
      <c r="D506" s="41"/>
      <c r="E506" s="42"/>
      <c r="F506" s="43"/>
      <c r="G506" s="23">
        <v>2</v>
      </c>
      <c r="H506" s="23"/>
      <c r="I506" s="23"/>
      <c r="J506" s="23"/>
      <c r="K506" s="23"/>
      <c r="L506" s="43"/>
    </row>
    <row r="507" spans="1:12" s="33" customFormat="1" ht="19.95" customHeight="1" x14ac:dyDescent="0.25">
      <c r="A507" s="17"/>
      <c r="B507" s="38" t="s">
        <v>158</v>
      </c>
      <c r="C507" s="40"/>
      <c r="D507" s="41"/>
      <c r="E507" s="42">
        <v>2</v>
      </c>
      <c r="F507" s="43"/>
      <c r="G507" s="23"/>
      <c r="H507" s="23"/>
      <c r="I507" s="23"/>
      <c r="J507" s="23"/>
      <c r="K507" s="23"/>
      <c r="L507" s="43"/>
    </row>
    <row r="508" spans="1:12" ht="19.95" customHeight="1" x14ac:dyDescent="0.35">
      <c r="A508" s="16"/>
      <c r="B508" s="28"/>
      <c r="C508" s="16"/>
      <c r="D508" s="29"/>
      <c r="E508" s="30"/>
      <c r="F508" s="31"/>
      <c r="G508" s="32"/>
      <c r="H508" s="32"/>
      <c r="I508" s="32"/>
      <c r="J508" s="32"/>
      <c r="K508" s="32"/>
      <c r="L508" s="31"/>
    </row>
    <row r="509" spans="1:12" s="24" customFormat="1" ht="19.95" customHeight="1" x14ac:dyDescent="0.25">
      <c r="A509" s="44"/>
      <c r="B509" s="45" t="s">
        <v>10</v>
      </c>
      <c r="C509" s="46">
        <f>SUM(C460:C508)</f>
        <v>32</v>
      </c>
      <c r="D509" s="46">
        <f>SUM(D460:D508)</f>
        <v>2</v>
      </c>
      <c r="E509" s="46">
        <f>SUM(E460:E508)</f>
        <v>2</v>
      </c>
      <c r="F509" s="46">
        <f>SUM(F460:F508)</f>
        <v>0</v>
      </c>
      <c r="G509" s="46">
        <f>SUM(G460:G508)</f>
        <v>11</v>
      </c>
      <c r="H509" s="46"/>
      <c r="I509" s="46"/>
      <c r="J509" s="46"/>
      <c r="K509" s="46"/>
      <c r="L509" s="46"/>
    </row>
    <row r="510" spans="1:12" s="24" customFormat="1" ht="19.95" customHeight="1" x14ac:dyDescent="0.25">
      <c r="A510" s="16"/>
      <c r="B510" s="28"/>
      <c r="C510" s="49"/>
      <c r="D510" s="49"/>
      <c r="E510" s="50"/>
      <c r="F510" s="49"/>
      <c r="G510" s="49"/>
      <c r="H510" s="49"/>
      <c r="I510" s="49"/>
      <c r="J510" s="49"/>
      <c r="K510" s="49"/>
      <c r="L510" s="49"/>
    </row>
    <row r="511" spans="1:12" s="33" customFormat="1" ht="19.95" customHeight="1" x14ac:dyDescent="0.25">
      <c r="A511" s="36" t="s">
        <v>56</v>
      </c>
      <c r="B511" s="2" t="s">
        <v>1</v>
      </c>
      <c r="C511" s="90" t="s">
        <v>2</v>
      </c>
      <c r="D511" s="90"/>
      <c r="E511" s="90"/>
      <c r="F511" s="90"/>
      <c r="G511" s="90"/>
      <c r="H511" s="95"/>
      <c r="I511" s="95"/>
      <c r="J511" s="95"/>
      <c r="K511" s="95"/>
    </row>
    <row r="512" spans="1:12" ht="82.2" customHeight="1" x14ac:dyDescent="0.35">
      <c r="A512" s="1"/>
      <c r="B512" s="6" t="s">
        <v>144</v>
      </c>
      <c r="C512" s="7" t="s">
        <v>4</v>
      </c>
      <c r="D512" s="8" t="s">
        <v>5</v>
      </c>
      <c r="E512" s="9" t="s">
        <v>6</v>
      </c>
      <c r="F512" s="10" t="s">
        <v>7</v>
      </c>
      <c r="G512" s="11" t="s">
        <v>8</v>
      </c>
      <c r="H512" s="11"/>
      <c r="I512" s="11"/>
      <c r="J512" s="11"/>
      <c r="K512" s="11"/>
      <c r="L512" s="10"/>
    </row>
    <row r="513" spans="1:12" s="24" customFormat="1" ht="19.95" customHeight="1" x14ac:dyDescent="0.25">
      <c r="A513" s="13">
        <v>2</v>
      </c>
      <c r="B513" s="14" t="s">
        <v>137</v>
      </c>
      <c r="C513" s="7"/>
      <c r="D513" s="8"/>
      <c r="E513" s="9"/>
      <c r="F513" s="10"/>
      <c r="G513" s="11"/>
      <c r="H513" s="11"/>
      <c r="I513" s="11"/>
      <c r="J513" s="11"/>
      <c r="K513" s="11"/>
      <c r="L513" s="10"/>
    </row>
    <row r="514" spans="1:12" s="24" customFormat="1" ht="19.95" customHeight="1" x14ac:dyDescent="0.25">
      <c r="A514" s="16"/>
      <c r="B514" s="14" t="s">
        <v>290</v>
      </c>
      <c r="C514" s="7"/>
      <c r="D514" s="8"/>
      <c r="E514" s="9"/>
      <c r="F514" s="10"/>
      <c r="G514" s="11"/>
      <c r="H514" s="11"/>
      <c r="I514" s="11"/>
      <c r="J514" s="11"/>
      <c r="K514" s="11"/>
      <c r="L514" s="10"/>
    </row>
    <row r="515" spans="1:12" s="24" customFormat="1" ht="19.95" customHeight="1" x14ac:dyDescent="0.25">
      <c r="A515" s="17"/>
      <c r="B515" s="38" t="s">
        <v>100</v>
      </c>
      <c r="C515" s="40">
        <f>A513</f>
        <v>2</v>
      </c>
      <c r="D515" s="41"/>
      <c r="E515" s="42"/>
      <c r="F515" s="43"/>
      <c r="G515" s="23">
        <v>2</v>
      </c>
      <c r="H515" s="23"/>
      <c r="I515" s="23"/>
      <c r="J515" s="23"/>
      <c r="K515" s="23"/>
      <c r="L515" s="43"/>
    </row>
    <row r="516" spans="1:12" s="24" customFormat="1" ht="19.95" customHeight="1" x14ac:dyDescent="0.25">
      <c r="A516" s="17"/>
      <c r="B516" s="38" t="s">
        <v>93</v>
      </c>
      <c r="C516" s="40">
        <f>A513</f>
        <v>2</v>
      </c>
      <c r="D516" s="41"/>
      <c r="E516" s="42"/>
      <c r="F516" s="43"/>
      <c r="G516" s="23"/>
      <c r="H516" s="23"/>
      <c r="I516" s="23"/>
      <c r="J516" s="23"/>
      <c r="K516" s="23"/>
      <c r="L516" s="43"/>
    </row>
    <row r="517" spans="1:12" s="24" customFormat="1" ht="19.95" customHeight="1" x14ac:dyDescent="0.25">
      <c r="A517" s="17"/>
      <c r="B517" s="38" t="s">
        <v>95</v>
      </c>
      <c r="C517" s="40"/>
      <c r="D517" s="41"/>
      <c r="E517" s="42"/>
      <c r="F517" s="43"/>
      <c r="G517" s="23">
        <v>1</v>
      </c>
      <c r="H517" s="23"/>
      <c r="I517" s="23"/>
      <c r="J517" s="23"/>
      <c r="K517" s="23"/>
      <c r="L517" s="43"/>
    </row>
    <row r="518" spans="1:12" s="24" customFormat="1" ht="19.95" customHeight="1" x14ac:dyDescent="0.25">
      <c r="A518" s="17"/>
      <c r="B518" s="38" t="s">
        <v>96</v>
      </c>
      <c r="C518" s="40">
        <f>A513</f>
        <v>2</v>
      </c>
      <c r="D518" s="41"/>
      <c r="E518" s="42"/>
      <c r="F518" s="43"/>
      <c r="G518" s="23"/>
      <c r="H518" s="23"/>
      <c r="I518" s="23"/>
      <c r="J518" s="23"/>
      <c r="K518" s="23"/>
      <c r="L518" s="43"/>
    </row>
    <row r="519" spans="1:12" s="24" customFormat="1" ht="19.95" customHeight="1" x14ac:dyDescent="0.25">
      <c r="A519" s="16"/>
      <c r="B519" s="28"/>
      <c r="C519" s="16"/>
      <c r="D519" s="29"/>
      <c r="E519" s="30"/>
      <c r="F519" s="31"/>
      <c r="G519" s="32"/>
      <c r="H519" s="32"/>
      <c r="I519" s="32"/>
      <c r="J519" s="32"/>
      <c r="K519" s="32"/>
      <c r="L519" s="31"/>
    </row>
    <row r="520" spans="1:12" ht="25.8" customHeight="1" x14ac:dyDescent="0.35">
      <c r="A520" s="13">
        <v>2</v>
      </c>
      <c r="B520" s="14" t="s">
        <v>130</v>
      </c>
      <c r="C520" s="7"/>
      <c r="D520" s="8"/>
      <c r="E520" s="9"/>
      <c r="F520" s="10"/>
      <c r="G520" s="11"/>
      <c r="H520" s="11"/>
      <c r="I520" s="11"/>
      <c r="J520" s="11"/>
      <c r="K520" s="11"/>
      <c r="L520" s="10"/>
    </row>
    <row r="521" spans="1:12" s="24" customFormat="1" ht="33" customHeight="1" x14ac:dyDescent="0.25">
      <c r="A521" s="16"/>
      <c r="B521" s="14" t="s">
        <v>288</v>
      </c>
      <c r="C521" s="7"/>
      <c r="D521" s="8"/>
      <c r="E521" s="9"/>
      <c r="F521" s="10"/>
      <c r="G521" s="11"/>
      <c r="H521" s="11"/>
      <c r="I521" s="11"/>
      <c r="J521" s="11"/>
      <c r="K521" s="11"/>
      <c r="L521" s="10"/>
    </row>
    <row r="522" spans="1:12" s="24" customFormat="1" ht="19.95" customHeight="1" x14ac:dyDescent="0.25">
      <c r="A522" s="17"/>
      <c r="B522" s="38" t="s">
        <v>131</v>
      </c>
      <c r="C522" s="40"/>
      <c r="D522" s="41">
        <f>1*A520</f>
        <v>2</v>
      </c>
      <c r="E522" s="42"/>
      <c r="F522" s="43"/>
      <c r="G522" s="23"/>
      <c r="H522" s="23"/>
      <c r="I522" s="23"/>
      <c r="J522" s="23"/>
      <c r="K522" s="23"/>
      <c r="L522" s="43"/>
    </row>
    <row r="523" spans="1:12" s="24" customFormat="1" ht="19.95" customHeight="1" x14ac:dyDescent="0.25">
      <c r="A523" s="17"/>
      <c r="B523" s="38" t="s">
        <v>132</v>
      </c>
      <c r="C523" s="40">
        <f>1*A520</f>
        <v>2</v>
      </c>
      <c r="D523" s="41"/>
      <c r="E523" s="42"/>
      <c r="F523" s="43"/>
      <c r="G523" s="23">
        <v>2</v>
      </c>
      <c r="H523" s="23"/>
      <c r="I523" s="23"/>
      <c r="J523" s="23"/>
      <c r="K523" s="23"/>
      <c r="L523" s="43"/>
    </row>
    <row r="524" spans="1:12" s="24" customFormat="1" ht="19.95" customHeight="1" x14ac:dyDescent="0.25">
      <c r="A524" s="17"/>
      <c r="B524" s="38" t="s">
        <v>93</v>
      </c>
      <c r="C524" s="40">
        <f>1*A520</f>
        <v>2</v>
      </c>
      <c r="D524" s="41"/>
      <c r="E524" s="42"/>
      <c r="F524" s="43"/>
      <c r="G524" s="23"/>
      <c r="H524" s="23"/>
      <c r="I524" s="23"/>
      <c r="J524" s="23"/>
      <c r="K524" s="23"/>
      <c r="L524" s="43"/>
    </row>
    <row r="525" spans="1:12" s="24" customFormat="1" ht="19.95" customHeight="1" x14ac:dyDescent="0.25">
      <c r="A525" s="17"/>
      <c r="B525" s="38" t="s">
        <v>133</v>
      </c>
      <c r="C525" s="40">
        <f>1*A520</f>
        <v>2</v>
      </c>
      <c r="D525" s="41"/>
      <c r="E525" s="42"/>
      <c r="F525" s="43"/>
      <c r="G525" s="23"/>
      <c r="H525" s="23"/>
      <c r="I525" s="23"/>
      <c r="J525" s="23"/>
      <c r="K525" s="23"/>
      <c r="L525" s="43"/>
    </row>
    <row r="526" spans="1:12" s="24" customFormat="1" ht="19.95" customHeight="1" x14ac:dyDescent="0.25">
      <c r="A526" s="17"/>
      <c r="B526" s="38"/>
      <c r="C526" s="40"/>
      <c r="D526" s="41"/>
      <c r="E526" s="42"/>
      <c r="F526" s="43"/>
      <c r="G526" s="23"/>
      <c r="H526" s="23"/>
      <c r="I526" s="23"/>
      <c r="J526" s="23"/>
      <c r="K526" s="23"/>
      <c r="L526" s="43"/>
    </row>
    <row r="527" spans="1:12" s="24" customFormat="1" ht="19.95" customHeight="1" x14ac:dyDescent="0.25">
      <c r="A527" s="13">
        <v>1</v>
      </c>
      <c r="B527" s="14" t="s">
        <v>97</v>
      </c>
      <c r="C527" s="7"/>
      <c r="D527" s="8"/>
      <c r="E527" s="9"/>
      <c r="F527" s="10"/>
      <c r="G527" s="11"/>
      <c r="H527" s="11"/>
      <c r="I527" s="11"/>
      <c r="J527" s="11"/>
      <c r="K527" s="11"/>
      <c r="L527" s="10"/>
    </row>
    <row r="528" spans="1:12" s="24" customFormat="1" ht="19.95" customHeight="1" x14ac:dyDescent="0.25">
      <c r="A528" s="16"/>
      <c r="B528" s="14" t="s">
        <v>143</v>
      </c>
      <c r="C528" s="7"/>
      <c r="D528" s="8"/>
      <c r="E528" s="9"/>
      <c r="F528" s="10"/>
      <c r="G528" s="11"/>
      <c r="H528" s="11"/>
      <c r="I528" s="11"/>
      <c r="J528" s="11"/>
      <c r="K528" s="11"/>
      <c r="L528" s="10"/>
    </row>
    <row r="529" spans="1:12" s="33" customFormat="1" ht="19.95" customHeight="1" x14ac:dyDescent="0.25">
      <c r="A529" s="17"/>
      <c r="B529" s="38" t="s">
        <v>94</v>
      </c>
      <c r="C529" s="40"/>
      <c r="D529" s="41"/>
      <c r="E529" s="42">
        <v>1</v>
      </c>
      <c r="F529" s="43"/>
      <c r="G529" s="23"/>
      <c r="H529" s="23"/>
      <c r="I529" s="23"/>
      <c r="J529" s="23"/>
      <c r="K529" s="23"/>
      <c r="L529" s="43"/>
    </row>
    <row r="530" spans="1:12" ht="19.95" customHeight="1" x14ac:dyDescent="0.35">
      <c r="B530" s="38" t="s">
        <v>99</v>
      </c>
      <c r="C530" s="40"/>
      <c r="D530" s="41"/>
      <c r="E530" s="42">
        <v>1</v>
      </c>
      <c r="F530" s="43"/>
      <c r="G530" s="23"/>
      <c r="H530" s="23"/>
      <c r="I530" s="23"/>
      <c r="J530" s="23"/>
      <c r="K530" s="23"/>
      <c r="L530" s="43"/>
    </row>
    <row r="531" spans="1:12" ht="19.95" customHeight="1" x14ac:dyDescent="0.35">
      <c r="B531" s="38" t="s">
        <v>100</v>
      </c>
      <c r="C531" s="40">
        <v>1</v>
      </c>
      <c r="D531" s="41"/>
      <c r="E531" s="42"/>
      <c r="F531" s="43"/>
      <c r="G531" s="23">
        <v>1</v>
      </c>
      <c r="H531" s="23"/>
      <c r="I531" s="23"/>
      <c r="J531" s="23"/>
      <c r="K531" s="23"/>
      <c r="L531" s="43"/>
    </row>
    <row r="532" spans="1:12" s="24" customFormat="1" ht="19.95" customHeight="1" x14ac:dyDescent="0.25">
      <c r="A532" s="17"/>
      <c r="B532" s="38" t="s">
        <v>93</v>
      </c>
      <c r="C532" s="40">
        <v>1</v>
      </c>
      <c r="D532" s="41"/>
      <c r="E532" s="42"/>
      <c r="F532" s="43"/>
      <c r="G532" s="23"/>
      <c r="H532" s="23"/>
      <c r="I532" s="23"/>
      <c r="J532" s="23"/>
      <c r="K532" s="23"/>
      <c r="L532" s="43"/>
    </row>
    <row r="533" spans="1:12" s="24" customFormat="1" ht="19.95" customHeight="1" x14ac:dyDescent="0.25">
      <c r="A533" s="17"/>
      <c r="B533" s="38" t="s">
        <v>282</v>
      </c>
      <c r="C533" s="40">
        <v>1</v>
      </c>
      <c r="D533" s="41"/>
      <c r="E533" s="42"/>
      <c r="F533" s="43"/>
      <c r="G533" s="23"/>
      <c r="H533" s="23"/>
      <c r="I533" s="23"/>
      <c r="J533" s="23"/>
      <c r="K533" s="23"/>
      <c r="L533" s="43"/>
    </row>
    <row r="534" spans="1:12" s="33" customFormat="1" ht="19.95" customHeight="1" x14ac:dyDescent="0.25">
      <c r="A534" s="16"/>
      <c r="B534" s="28"/>
      <c r="C534" s="16"/>
      <c r="D534" s="29"/>
      <c r="E534" s="30"/>
      <c r="F534" s="31"/>
      <c r="G534" s="32"/>
      <c r="H534" s="32"/>
      <c r="I534" s="32"/>
      <c r="J534" s="32"/>
      <c r="K534" s="32"/>
      <c r="L534" s="31"/>
    </row>
    <row r="535" spans="1:12" ht="19.95" customHeight="1" x14ac:dyDescent="0.35">
      <c r="A535" s="13">
        <v>2</v>
      </c>
      <c r="B535" s="14" t="s">
        <v>91</v>
      </c>
      <c r="C535" s="7"/>
      <c r="D535" s="8"/>
      <c r="E535" s="9"/>
      <c r="F535" s="10"/>
      <c r="G535" s="11"/>
      <c r="H535" s="11"/>
      <c r="I535" s="11"/>
      <c r="J535" s="11"/>
      <c r="K535" s="11"/>
      <c r="L535" s="10"/>
    </row>
    <row r="536" spans="1:12" ht="19.95" customHeight="1" x14ac:dyDescent="0.35">
      <c r="A536" s="16"/>
      <c r="B536" s="14" t="s">
        <v>289</v>
      </c>
      <c r="C536" s="7"/>
      <c r="D536" s="8"/>
      <c r="E536" s="9"/>
      <c r="F536" s="10"/>
      <c r="G536" s="11"/>
      <c r="H536" s="11"/>
      <c r="I536" s="11"/>
      <c r="J536" s="11"/>
      <c r="K536" s="11"/>
      <c r="L536" s="10"/>
    </row>
    <row r="537" spans="1:12" s="24" customFormat="1" ht="19.95" customHeight="1" x14ac:dyDescent="0.25">
      <c r="A537" s="17"/>
      <c r="B537" s="38" t="s">
        <v>100</v>
      </c>
      <c r="C537" s="40">
        <f>1*A535</f>
        <v>2</v>
      </c>
      <c r="D537" s="41"/>
      <c r="E537" s="42"/>
      <c r="F537" s="43"/>
      <c r="G537" s="23">
        <v>2</v>
      </c>
      <c r="H537" s="23"/>
      <c r="I537" s="23"/>
      <c r="J537" s="23"/>
      <c r="K537" s="23"/>
      <c r="L537" s="43"/>
    </row>
    <row r="538" spans="1:12" s="24" customFormat="1" ht="19.95" customHeight="1" x14ac:dyDescent="0.25">
      <c r="A538" s="17"/>
      <c r="B538" s="38" t="s">
        <v>93</v>
      </c>
      <c r="C538" s="40">
        <f>1*A535</f>
        <v>2</v>
      </c>
      <c r="D538" s="41"/>
      <c r="E538" s="42"/>
      <c r="F538" s="43"/>
      <c r="G538" s="23"/>
      <c r="H538" s="23"/>
      <c r="I538" s="23"/>
      <c r="J538" s="23"/>
      <c r="K538" s="23"/>
      <c r="L538" s="43"/>
    </row>
    <row r="539" spans="1:12" s="33" customFormat="1" ht="19.95" customHeight="1" x14ac:dyDescent="0.25">
      <c r="A539" s="17"/>
      <c r="B539" s="38" t="s">
        <v>95</v>
      </c>
      <c r="C539" s="40"/>
      <c r="D539" s="41"/>
      <c r="E539" s="42"/>
      <c r="F539" s="43"/>
      <c r="G539" s="23">
        <v>2</v>
      </c>
      <c r="H539" s="23"/>
      <c r="I539" s="23"/>
      <c r="J539" s="23"/>
      <c r="K539" s="23"/>
      <c r="L539" s="43"/>
    </row>
    <row r="540" spans="1:12" ht="19.95" customHeight="1" x14ac:dyDescent="0.35">
      <c r="B540" s="38" t="s">
        <v>96</v>
      </c>
      <c r="C540" s="40">
        <f>1*A535</f>
        <v>2</v>
      </c>
      <c r="D540" s="41"/>
      <c r="E540" s="42"/>
      <c r="F540" s="43"/>
      <c r="G540" s="23"/>
      <c r="H540" s="23"/>
      <c r="I540" s="23"/>
      <c r="J540" s="23"/>
      <c r="K540" s="23"/>
      <c r="L540" s="43"/>
    </row>
    <row r="541" spans="1:12" ht="19.95" customHeight="1" x14ac:dyDescent="0.35">
      <c r="A541" s="16"/>
      <c r="B541" s="28"/>
      <c r="C541" s="16"/>
      <c r="D541" s="29"/>
      <c r="E541" s="30"/>
      <c r="F541" s="31"/>
      <c r="G541" s="32"/>
      <c r="H541" s="32"/>
      <c r="I541" s="32"/>
      <c r="J541" s="32"/>
      <c r="K541" s="32"/>
      <c r="L541" s="31"/>
    </row>
    <row r="542" spans="1:12" ht="19.95" customHeight="1" x14ac:dyDescent="0.35">
      <c r="A542" s="13">
        <v>1</v>
      </c>
      <c r="B542" s="14" t="s">
        <v>138</v>
      </c>
      <c r="C542" s="7"/>
      <c r="D542" s="8"/>
      <c r="E542" s="9"/>
      <c r="F542" s="10"/>
      <c r="G542" s="11"/>
      <c r="H542" s="11"/>
      <c r="I542" s="11"/>
      <c r="J542" s="11"/>
      <c r="K542" s="11"/>
      <c r="L542" s="10"/>
    </row>
    <row r="543" spans="1:12" ht="19.95" customHeight="1" x14ac:dyDescent="0.35">
      <c r="A543" s="16"/>
      <c r="B543" s="14" t="s">
        <v>139</v>
      </c>
      <c r="C543" s="7"/>
      <c r="D543" s="8"/>
      <c r="E543" s="9"/>
      <c r="F543" s="10"/>
      <c r="G543" s="11"/>
      <c r="H543" s="11"/>
      <c r="I543" s="11"/>
      <c r="J543" s="11"/>
      <c r="K543" s="11"/>
      <c r="L543" s="10"/>
    </row>
    <row r="544" spans="1:12" ht="19.95" customHeight="1" x14ac:dyDescent="0.35">
      <c r="A544" s="16"/>
      <c r="B544" s="51" t="s">
        <v>291</v>
      </c>
      <c r="C544" s="40">
        <v>1</v>
      </c>
      <c r="D544" s="41"/>
      <c r="E544" s="42"/>
      <c r="F544" s="43"/>
      <c r="G544" s="23"/>
      <c r="H544" s="23"/>
      <c r="I544" s="23"/>
      <c r="J544" s="23"/>
      <c r="K544" s="23"/>
      <c r="L544" s="43"/>
    </row>
    <row r="545" spans="1:12" ht="19.95" customHeight="1" x14ac:dyDescent="0.35">
      <c r="B545" s="51" t="s">
        <v>278</v>
      </c>
      <c r="C545" s="40">
        <v>1</v>
      </c>
      <c r="D545" s="41"/>
      <c r="E545" s="42"/>
      <c r="F545" s="43"/>
      <c r="G545" s="23"/>
      <c r="H545" s="23"/>
      <c r="I545" s="23"/>
      <c r="J545" s="23"/>
      <c r="K545" s="23"/>
      <c r="L545" s="43"/>
    </row>
    <row r="546" spans="1:12" ht="19.95" customHeight="1" x14ac:dyDescent="0.35">
      <c r="B546" s="51" t="s">
        <v>125</v>
      </c>
      <c r="C546" s="40">
        <v>1</v>
      </c>
      <c r="D546" s="41"/>
      <c r="E546" s="42"/>
      <c r="F546" s="43"/>
      <c r="G546" s="23"/>
      <c r="H546" s="23"/>
      <c r="I546" s="23"/>
      <c r="J546" s="23"/>
      <c r="K546" s="23"/>
      <c r="L546" s="43"/>
    </row>
    <row r="547" spans="1:12" s="24" customFormat="1" ht="19.95" customHeight="1" x14ac:dyDescent="0.25">
      <c r="A547" s="17"/>
      <c r="B547" s="51" t="s">
        <v>140</v>
      </c>
      <c r="C547" s="40">
        <v>1</v>
      </c>
      <c r="D547" s="41"/>
      <c r="E547" s="42"/>
      <c r="F547" s="43"/>
      <c r="G547" s="23">
        <v>1</v>
      </c>
      <c r="H547" s="23"/>
      <c r="I547" s="23"/>
      <c r="J547" s="23"/>
      <c r="K547" s="23"/>
      <c r="L547" s="43"/>
    </row>
    <row r="548" spans="1:12" s="24" customFormat="1" ht="19.95" customHeight="1" x14ac:dyDescent="0.25">
      <c r="A548" s="17"/>
      <c r="B548" s="51" t="s">
        <v>21</v>
      </c>
      <c r="C548" s="40">
        <v>1</v>
      </c>
      <c r="D548" s="41"/>
      <c r="E548" s="42"/>
      <c r="F548" s="43"/>
      <c r="G548" s="23"/>
      <c r="H548" s="23"/>
      <c r="I548" s="23"/>
      <c r="J548" s="23"/>
      <c r="K548" s="23"/>
      <c r="L548" s="43"/>
    </row>
    <row r="549" spans="1:12" ht="19.95" customHeight="1" x14ac:dyDescent="0.35">
      <c r="B549" s="51" t="s">
        <v>141</v>
      </c>
      <c r="C549" s="40">
        <v>1</v>
      </c>
      <c r="D549" s="41"/>
      <c r="E549" s="42"/>
      <c r="F549" s="43"/>
      <c r="G549" s="23"/>
      <c r="H549" s="23"/>
      <c r="I549" s="23"/>
      <c r="J549" s="23"/>
      <c r="K549" s="23"/>
      <c r="L549" s="43"/>
    </row>
    <row r="550" spans="1:12" ht="19.95" customHeight="1" x14ac:dyDescent="0.35">
      <c r="B550" s="51" t="s">
        <v>19</v>
      </c>
      <c r="C550" s="40"/>
      <c r="D550" s="41">
        <v>1</v>
      </c>
      <c r="E550" s="42"/>
      <c r="F550" s="43"/>
      <c r="G550" s="23"/>
      <c r="H550" s="23"/>
      <c r="I550" s="23"/>
      <c r="J550" s="23"/>
      <c r="K550" s="23"/>
      <c r="L550" s="43"/>
    </row>
    <row r="551" spans="1:12" s="24" customFormat="1" ht="19.95" customHeight="1" x14ac:dyDescent="0.25">
      <c r="A551" s="17"/>
      <c r="B551" s="51" t="s">
        <v>15</v>
      </c>
      <c r="C551" s="40"/>
      <c r="D551" s="41"/>
      <c r="E551" s="42">
        <v>2</v>
      </c>
      <c r="F551" s="43"/>
      <c r="G551" s="23"/>
      <c r="H551" s="23"/>
      <c r="I551" s="23"/>
      <c r="J551" s="23"/>
      <c r="K551" s="23"/>
      <c r="L551" s="43"/>
    </row>
    <row r="552" spans="1:12" s="33" customFormat="1" ht="19.95" customHeight="1" x14ac:dyDescent="0.25">
      <c r="A552" s="17"/>
      <c r="B552" s="51" t="s">
        <v>294</v>
      </c>
      <c r="C552" s="40"/>
      <c r="D552" s="41"/>
      <c r="E552" s="42">
        <v>1</v>
      </c>
      <c r="F552" s="43"/>
      <c r="G552" s="23"/>
      <c r="H552" s="23"/>
      <c r="I552" s="23"/>
      <c r="J552" s="23"/>
      <c r="K552" s="23"/>
      <c r="L552" s="43"/>
    </row>
    <row r="553" spans="1:12" ht="19.95" customHeight="1" x14ac:dyDescent="0.35">
      <c r="B553" s="26" t="s">
        <v>292</v>
      </c>
      <c r="C553" s="24"/>
      <c r="D553" s="41"/>
      <c r="E553" s="42">
        <v>1</v>
      </c>
      <c r="F553" s="43">
        <v>1</v>
      </c>
      <c r="G553" s="23"/>
      <c r="H553" s="23"/>
      <c r="I553" s="23"/>
      <c r="J553" s="23"/>
      <c r="K553" s="23"/>
      <c r="L553" s="43"/>
    </row>
    <row r="554" spans="1:12" s="24" customFormat="1" ht="19.95" customHeight="1" x14ac:dyDescent="0.25">
      <c r="A554" s="17"/>
      <c r="B554" s="26" t="s">
        <v>293</v>
      </c>
      <c r="C554" s="40"/>
      <c r="D554" s="41"/>
      <c r="E554" s="42">
        <v>2</v>
      </c>
      <c r="F554" s="43"/>
      <c r="G554" s="23"/>
      <c r="H554" s="23"/>
      <c r="I554" s="23"/>
      <c r="J554" s="23"/>
      <c r="K554" s="23"/>
      <c r="L554" s="43"/>
    </row>
    <row r="555" spans="1:12" s="24" customFormat="1" ht="19.95" customHeight="1" x14ac:dyDescent="0.25">
      <c r="A555" s="17"/>
      <c r="B555" s="51" t="s">
        <v>72</v>
      </c>
      <c r="C555" s="40"/>
      <c r="D555" s="41"/>
      <c r="E555" s="42">
        <v>2</v>
      </c>
      <c r="F555" s="43"/>
      <c r="G555" s="23"/>
      <c r="H555" s="23"/>
      <c r="I555" s="23"/>
      <c r="J555" s="23"/>
      <c r="K555" s="23"/>
      <c r="L555" s="43"/>
    </row>
    <row r="556" spans="1:12" s="24" customFormat="1" ht="19.95" customHeight="1" x14ac:dyDescent="0.25">
      <c r="A556" s="16"/>
      <c r="B556" s="51" t="s">
        <v>142</v>
      </c>
      <c r="C556" s="16"/>
      <c r="D556" s="29"/>
      <c r="E556" s="30"/>
      <c r="F556" s="31"/>
      <c r="G556" s="23">
        <v>1</v>
      </c>
      <c r="H556" s="23"/>
      <c r="I556" s="23"/>
      <c r="J556" s="23"/>
      <c r="K556" s="23"/>
      <c r="L556" s="31"/>
    </row>
    <row r="557" spans="1:12" s="24" customFormat="1" ht="19.95" customHeight="1" x14ac:dyDescent="0.25">
      <c r="A557" s="16"/>
      <c r="B557" s="51"/>
      <c r="C557" s="16"/>
      <c r="D557" s="29"/>
      <c r="E557" s="30"/>
      <c r="F557" s="31"/>
      <c r="G557" s="23"/>
      <c r="H557" s="23"/>
      <c r="I557" s="23"/>
      <c r="J557" s="23"/>
      <c r="K557" s="23"/>
      <c r="L557" s="31"/>
    </row>
    <row r="558" spans="1:12" s="24" customFormat="1" ht="19.95" customHeight="1" x14ac:dyDescent="0.25">
      <c r="A558" s="13">
        <v>1</v>
      </c>
      <c r="B558" s="14" t="s">
        <v>103</v>
      </c>
      <c r="C558" s="16"/>
      <c r="D558" s="29"/>
      <c r="E558" s="30"/>
      <c r="F558" s="31"/>
      <c r="G558" s="23"/>
      <c r="H558" s="23"/>
      <c r="I558" s="23"/>
      <c r="J558" s="23"/>
      <c r="K558" s="23"/>
      <c r="L558" s="31"/>
    </row>
    <row r="559" spans="1:12" s="24" customFormat="1" ht="19.95" customHeight="1" x14ac:dyDescent="0.25">
      <c r="A559" s="17"/>
      <c r="B559" s="14" t="s">
        <v>295</v>
      </c>
      <c r="C559" s="7"/>
      <c r="D559" s="8"/>
      <c r="E559" s="9"/>
      <c r="F559" s="10"/>
      <c r="G559" s="11"/>
      <c r="H559" s="11"/>
      <c r="I559" s="11"/>
      <c r="J559" s="11"/>
      <c r="K559" s="11"/>
      <c r="L559" s="10"/>
    </row>
    <row r="560" spans="1:12" s="24" customFormat="1" ht="19.95" customHeight="1" x14ac:dyDescent="0.25">
      <c r="A560" s="17"/>
      <c r="B560" s="39" t="s">
        <v>105</v>
      </c>
      <c r="C560" s="19"/>
      <c r="D560" s="20"/>
      <c r="E560" s="21">
        <v>2</v>
      </c>
      <c r="F560" s="22"/>
      <c r="G560" s="23"/>
      <c r="H560" s="23"/>
      <c r="I560" s="23"/>
      <c r="J560" s="23"/>
      <c r="K560" s="23"/>
      <c r="L560" s="22"/>
    </row>
    <row r="561" spans="1:12" s="33" customFormat="1" ht="19.95" customHeight="1" x14ac:dyDescent="0.25">
      <c r="A561" s="17"/>
      <c r="B561" s="38" t="s">
        <v>72</v>
      </c>
      <c r="C561" s="19"/>
      <c r="D561" s="20"/>
      <c r="E561" s="21">
        <v>2</v>
      </c>
      <c r="F561" s="22"/>
      <c r="G561" s="23"/>
      <c r="H561" s="23"/>
      <c r="I561" s="23"/>
      <c r="J561" s="23"/>
      <c r="K561" s="23"/>
      <c r="L561" s="22"/>
    </row>
    <row r="562" spans="1:12" ht="19.95" customHeight="1" x14ac:dyDescent="0.35">
      <c r="B562" s="38" t="s">
        <v>15</v>
      </c>
      <c r="C562" s="19"/>
      <c r="D562" s="20"/>
      <c r="E562" s="21">
        <v>2</v>
      </c>
      <c r="F562" s="22"/>
      <c r="G562" s="23"/>
      <c r="H562" s="23"/>
      <c r="I562" s="23"/>
      <c r="J562" s="23"/>
      <c r="K562" s="23"/>
      <c r="L562" s="22"/>
    </row>
    <row r="563" spans="1:12" ht="19.95" customHeight="1" x14ac:dyDescent="0.35">
      <c r="B563" s="39" t="s">
        <v>277</v>
      </c>
      <c r="C563" s="19"/>
      <c r="D563" s="20"/>
      <c r="E563" s="21">
        <v>2</v>
      </c>
      <c r="F563" s="22"/>
      <c r="G563" s="23"/>
      <c r="H563" s="23"/>
      <c r="I563" s="23"/>
      <c r="J563" s="23"/>
      <c r="K563" s="23"/>
      <c r="L563" s="22"/>
    </row>
    <row r="564" spans="1:12" s="24" customFormat="1" ht="19.95" customHeight="1" x14ac:dyDescent="0.25">
      <c r="A564" s="17"/>
      <c r="B564" s="38" t="s">
        <v>82</v>
      </c>
      <c r="C564" s="19"/>
      <c r="D564" s="20"/>
      <c r="E564" s="21">
        <v>2</v>
      </c>
      <c r="F564" s="22"/>
      <c r="G564" s="23"/>
      <c r="H564" s="23"/>
      <c r="I564" s="23"/>
      <c r="J564" s="23"/>
      <c r="K564" s="23"/>
      <c r="L564" s="22"/>
    </row>
    <row r="565" spans="1:12" s="33" customFormat="1" ht="19.95" customHeight="1" x14ac:dyDescent="0.25">
      <c r="A565" s="17"/>
      <c r="B565" s="38" t="s">
        <v>106</v>
      </c>
      <c r="C565" s="19"/>
      <c r="D565" s="20"/>
      <c r="E565" s="21">
        <v>1</v>
      </c>
      <c r="F565" s="22"/>
      <c r="G565" s="23"/>
      <c r="H565" s="23"/>
      <c r="I565" s="23"/>
      <c r="J565" s="23"/>
      <c r="K565" s="23"/>
      <c r="L565" s="22"/>
    </row>
    <row r="566" spans="1:12" ht="19.95" customHeight="1" x14ac:dyDescent="0.35">
      <c r="B566" s="38" t="s">
        <v>278</v>
      </c>
      <c r="C566" s="19">
        <v>1</v>
      </c>
      <c r="D566" s="20"/>
      <c r="E566" s="21"/>
      <c r="F566" s="22"/>
      <c r="G566" s="23"/>
      <c r="H566" s="23"/>
      <c r="I566" s="23"/>
      <c r="J566" s="23"/>
      <c r="K566" s="23"/>
      <c r="L566" s="22"/>
    </row>
    <row r="567" spans="1:12" ht="19.95" customHeight="1" x14ac:dyDescent="0.35">
      <c r="B567" s="38" t="s">
        <v>125</v>
      </c>
      <c r="C567" s="19">
        <v>1</v>
      </c>
      <c r="D567" s="20"/>
      <c r="E567" s="21"/>
      <c r="F567" s="22"/>
      <c r="G567" s="23"/>
      <c r="H567" s="23"/>
      <c r="I567" s="23"/>
      <c r="J567" s="23"/>
      <c r="K567" s="23"/>
      <c r="L567" s="22"/>
    </row>
    <row r="568" spans="1:12" s="24" customFormat="1" ht="19.95" customHeight="1" x14ac:dyDescent="0.25">
      <c r="A568" s="17"/>
      <c r="B568" s="39" t="s">
        <v>110</v>
      </c>
      <c r="C568" s="19"/>
      <c r="D568" s="20"/>
      <c r="E568" s="21">
        <v>1</v>
      </c>
      <c r="F568" s="22">
        <v>1</v>
      </c>
      <c r="G568" s="23"/>
      <c r="H568" s="23"/>
      <c r="I568" s="23"/>
      <c r="J568" s="23"/>
      <c r="K568" s="23"/>
      <c r="L568" s="22"/>
    </row>
    <row r="569" spans="1:12" s="33" customFormat="1" ht="24.6" customHeight="1" x14ac:dyDescent="0.25">
      <c r="A569" s="17"/>
      <c r="B569" s="39" t="s">
        <v>24</v>
      </c>
      <c r="C569" s="19"/>
      <c r="D569" s="20"/>
      <c r="E569" s="21">
        <v>1</v>
      </c>
      <c r="F569" s="22"/>
      <c r="G569" s="23"/>
      <c r="H569" s="23"/>
      <c r="I569" s="23"/>
      <c r="J569" s="23"/>
      <c r="K569" s="23"/>
      <c r="L569" s="22"/>
    </row>
    <row r="570" spans="1:12" s="24" customFormat="1" ht="22.2" customHeight="1" x14ac:dyDescent="0.25">
      <c r="A570" s="17"/>
      <c r="B570" s="38" t="s">
        <v>18</v>
      </c>
      <c r="C570" s="19"/>
      <c r="D570" s="20"/>
      <c r="E570" s="21">
        <v>1</v>
      </c>
      <c r="F570" s="22"/>
      <c r="G570" s="23"/>
      <c r="H570" s="23"/>
      <c r="I570" s="23"/>
      <c r="J570" s="23"/>
      <c r="K570" s="23"/>
      <c r="L570" s="22"/>
    </row>
    <row r="571" spans="1:12" customFormat="1" ht="19.95" customHeight="1" x14ac:dyDescent="0.25">
      <c r="A571" s="17"/>
      <c r="B571" s="38" t="s">
        <v>111</v>
      </c>
      <c r="C571" s="19"/>
      <c r="D571" s="20"/>
      <c r="E571" s="21">
        <v>1</v>
      </c>
      <c r="F571" s="22"/>
      <c r="G571" s="23"/>
      <c r="H571" s="23"/>
      <c r="I571" s="23"/>
      <c r="J571" s="23"/>
      <c r="K571" s="23"/>
      <c r="L571" s="22"/>
    </row>
    <row r="572" spans="1:12" customFormat="1" ht="19.95" customHeight="1" x14ac:dyDescent="0.25">
      <c r="A572" s="17"/>
      <c r="B572" s="38"/>
      <c r="C572" s="19"/>
      <c r="D572" s="20"/>
      <c r="E572" s="21"/>
      <c r="F572" s="22"/>
      <c r="G572" s="23"/>
      <c r="H572" s="23"/>
      <c r="I572" s="23"/>
      <c r="J572" s="23"/>
      <c r="K572" s="23"/>
      <c r="L572" s="22"/>
    </row>
    <row r="573" spans="1:12" customFormat="1" ht="19.95" customHeight="1" x14ac:dyDescent="0.25">
      <c r="A573" s="13">
        <v>1</v>
      </c>
      <c r="B573" s="14" t="s">
        <v>25</v>
      </c>
      <c r="C573" s="7"/>
      <c r="D573" s="8"/>
      <c r="E573" s="9"/>
      <c r="F573" s="10"/>
      <c r="G573" s="11"/>
      <c r="H573" s="11"/>
      <c r="I573" s="11"/>
      <c r="J573" s="11"/>
      <c r="K573" s="11"/>
      <c r="L573" s="10"/>
    </row>
    <row r="574" spans="1:12" customFormat="1" ht="19.95" customHeight="1" x14ac:dyDescent="0.25">
      <c r="A574" s="16"/>
      <c r="B574" s="14" t="s">
        <v>296</v>
      </c>
      <c r="C574" s="7"/>
      <c r="D574" s="8"/>
      <c r="E574" s="9"/>
      <c r="F574" s="10"/>
      <c r="G574" s="11"/>
      <c r="H574" s="11"/>
      <c r="I574" s="11"/>
      <c r="J574" s="11"/>
      <c r="K574" s="11"/>
      <c r="L574" s="10"/>
    </row>
    <row r="575" spans="1:12" customFormat="1" ht="19.95" customHeight="1" x14ac:dyDescent="0.25">
      <c r="A575" s="17"/>
      <c r="B575" s="38" t="s">
        <v>26</v>
      </c>
      <c r="C575" s="40">
        <v>1</v>
      </c>
      <c r="D575" s="41"/>
      <c r="E575" s="42"/>
      <c r="F575" s="43"/>
      <c r="G575" s="23"/>
      <c r="H575" s="23"/>
      <c r="I575" s="23"/>
      <c r="J575" s="23"/>
      <c r="K575" s="23"/>
      <c r="L575" s="43"/>
    </row>
    <row r="576" spans="1:12" customFormat="1" ht="19.95" customHeight="1" x14ac:dyDescent="0.25">
      <c r="A576" s="17"/>
      <c r="B576" s="38" t="s">
        <v>27</v>
      </c>
      <c r="C576" s="40">
        <v>1</v>
      </c>
      <c r="D576" s="41"/>
      <c r="E576" s="42"/>
      <c r="F576" s="43"/>
      <c r="G576" s="23"/>
      <c r="H576" s="23"/>
      <c r="I576" s="23"/>
      <c r="J576" s="23"/>
      <c r="K576" s="23"/>
      <c r="L576" s="43"/>
    </row>
    <row r="577" spans="1:12" s="33" customFormat="1" ht="19.95" customHeight="1" x14ac:dyDescent="0.25">
      <c r="A577" s="16"/>
      <c r="B577" s="28"/>
      <c r="C577" s="16"/>
      <c r="D577" s="29"/>
      <c r="E577" s="30"/>
      <c r="F577" s="31"/>
      <c r="G577" s="32"/>
      <c r="H577" s="32"/>
      <c r="I577" s="32"/>
      <c r="J577" s="32"/>
      <c r="K577" s="32"/>
      <c r="L577" s="31"/>
    </row>
    <row r="578" spans="1:12" ht="19.95" customHeight="1" x14ac:dyDescent="0.35">
      <c r="A578" s="44"/>
      <c r="B578" s="45" t="s">
        <v>10</v>
      </c>
      <c r="C578" s="46">
        <f>SUM(C513:C577)</f>
        <v>31</v>
      </c>
      <c r="D578" s="46">
        <f>SUM(D513:D577)</f>
        <v>3</v>
      </c>
      <c r="E578" s="46">
        <f>SUM(E513:E577)</f>
        <v>25</v>
      </c>
      <c r="F578" s="46">
        <f>SUM(F513:F577)</f>
        <v>2</v>
      </c>
      <c r="G578" s="46">
        <f>SUM(G513:G577)</f>
        <v>12</v>
      </c>
      <c r="H578" s="46"/>
      <c r="I578" s="46"/>
      <c r="J578" s="46"/>
      <c r="K578" s="46"/>
      <c r="L578" s="46"/>
    </row>
    <row r="579" spans="1:12" ht="19.95" customHeight="1" x14ac:dyDescent="0.35">
      <c r="A579" s="47"/>
      <c r="B579" s="48"/>
      <c r="C579" s="40"/>
      <c r="D579" s="40"/>
      <c r="E579" s="40"/>
      <c r="F579" s="40"/>
      <c r="G579" s="40"/>
      <c r="H579" s="40"/>
      <c r="I579" s="40"/>
      <c r="J579" s="40"/>
      <c r="K579" s="40"/>
      <c r="L579" s="40"/>
    </row>
    <row r="580" spans="1:12" s="24" customFormat="1" ht="19.95" customHeight="1" x14ac:dyDescent="0.25">
      <c r="A580" s="36" t="s">
        <v>11</v>
      </c>
      <c r="B580" s="2" t="s">
        <v>1</v>
      </c>
      <c r="C580" s="90" t="s">
        <v>2</v>
      </c>
      <c r="D580" s="90"/>
      <c r="E580" s="90"/>
      <c r="F580" s="90"/>
      <c r="G580" s="90"/>
      <c r="H580" s="95"/>
      <c r="I580" s="95"/>
      <c r="J580" s="95"/>
      <c r="K580" s="95"/>
    </row>
    <row r="581" spans="1:12" s="24" customFormat="1" ht="63" customHeight="1" x14ac:dyDescent="0.25">
      <c r="A581" s="1"/>
      <c r="B581" s="6" t="s">
        <v>159</v>
      </c>
      <c r="C581" s="7" t="s">
        <v>4</v>
      </c>
      <c r="D581" s="8" t="s">
        <v>5</v>
      </c>
      <c r="E581" s="9" t="s">
        <v>6</v>
      </c>
      <c r="F581" s="10" t="s">
        <v>7</v>
      </c>
      <c r="G581" s="11" t="s">
        <v>8</v>
      </c>
      <c r="H581" s="11"/>
      <c r="I581" s="11"/>
      <c r="J581" s="11"/>
      <c r="K581" s="11"/>
      <c r="L581" s="10"/>
    </row>
    <row r="582" spans="1:12" s="24" customFormat="1" ht="19.95" customHeight="1" x14ac:dyDescent="0.25">
      <c r="A582" s="13">
        <v>1</v>
      </c>
      <c r="B582" s="14" t="s">
        <v>91</v>
      </c>
      <c r="C582" s="7"/>
      <c r="D582" s="8"/>
      <c r="E582" s="9"/>
      <c r="F582" s="10"/>
      <c r="G582" s="11"/>
      <c r="H582" s="11"/>
      <c r="I582" s="11"/>
      <c r="J582" s="11"/>
      <c r="K582" s="11"/>
      <c r="L582" s="10"/>
    </row>
    <row r="583" spans="1:12" s="24" customFormat="1" ht="19.95" customHeight="1" x14ac:dyDescent="0.25">
      <c r="A583" s="16"/>
      <c r="B583" s="14" t="s">
        <v>299</v>
      </c>
      <c r="C583" s="7"/>
      <c r="D583" s="8"/>
      <c r="E583" s="9"/>
      <c r="F583" s="10"/>
      <c r="G583" s="11"/>
      <c r="H583" s="11"/>
      <c r="I583" s="11"/>
      <c r="J583" s="11"/>
      <c r="K583" s="11"/>
      <c r="L583" s="10"/>
    </row>
    <row r="584" spans="1:12" s="33" customFormat="1" ht="19.95" customHeight="1" x14ac:dyDescent="0.25">
      <c r="A584" s="17"/>
      <c r="B584" s="38" t="s">
        <v>100</v>
      </c>
      <c r="C584" s="40">
        <f>1*A582</f>
        <v>1</v>
      </c>
      <c r="D584" s="41"/>
      <c r="E584" s="42"/>
      <c r="F584" s="43"/>
      <c r="G584" s="23">
        <v>1</v>
      </c>
      <c r="H584" s="23"/>
      <c r="I584" s="23"/>
      <c r="J584" s="23"/>
      <c r="K584" s="23"/>
      <c r="L584" s="43"/>
    </row>
    <row r="585" spans="1:12" ht="19.95" customHeight="1" x14ac:dyDescent="0.35">
      <c r="B585" s="38" t="s">
        <v>93</v>
      </c>
      <c r="C585" s="40">
        <f>1*A582</f>
        <v>1</v>
      </c>
      <c r="D585" s="41"/>
      <c r="E585" s="42"/>
      <c r="F585" s="43"/>
      <c r="G585" s="23"/>
      <c r="H585" s="23"/>
      <c r="I585" s="23"/>
      <c r="J585" s="23"/>
      <c r="K585" s="23"/>
      <c r="L585" s="43"/>
    </row>
    <row r="586" spans="1:12" s="24" customFormat="1" ht="19.95" customHeight="1" x14ac:dyDescent="0.25">
      <c r="A586" s="17"/>
      <c r="B586" s="38" t="s">
        <v>95</v>
      </c>
      <c r="C586" s="40"/>
      <c r="D586" s="41"/>
      <c r="E586" s="42"/>
      <c r="F586" s="43"/>
      <c r="G586" s="23">
        <v>1</v>
      </c>
      <c r="H586" s="23"/>
      <c r="I586" s="23"/>
      <c r="J586" s="23"/>
      <c r="K586" s="23"/>
      <c r="L586" s="43"/>
    </row>
    <row r="587" spans="1:12" s="24" customFormat="1" ht="19.95" customHeight="1" x14ac:dyDescent="0.25">
      <c r="A587" s="17"/>
      <c r="B587" s="38" t="s">
        <v>96</v>
      </c>
      <c r="C587" s="40">
        <f>1*A582</f>
        <v>1</v>
      </c>
      <c r="D587" s="41"/>
      <c r="E587" s="42"/>
      <c r="F587" s="43"/>
      <c r="G587" s="23"/>
      <c r="H587" s="23"/>
      <c r="I587" s="23"/>
      <c r="J587" s="23"/>
      <c r="K587" s="23"/>
      <c r="L587" s="43"/>
    </row>
    <row r="588" spans="1:12" s="24" customFormat="1" ht="19.95" customHeight="1" x14ac:dyDescent="0.25">
      <c r="A588" s="17"/>
      <c r="B588" s="38"/>
      <c r="C588" s="40"/>
      <c r="D588" s="41"/>
      <c r="E588" s="42"/>
      <c r="F588" s="43"/>
      <c r="G588" s="23"/>
      <c r="H588" s="23"/>
      <c r="I588" s="23"/>
      <c r="J588" s="23"/>
      <c r="K588" s="23"/>
      <c r="L588" s="43"/>
    </row>
    <row r="589" spans="1:12" s="24" customFormat="1" ht="19.95" customHeight="1" x14ac:dyDescent="0.25">
      <c r="A589" s="13">
        <v>1</v>
      </c>
      <c r="B589" s="14" t="s">
        <v>137</v>
      </c>
      <c r="C589" s="7"/>
      <c r="D589" s="8"/>
      <c r="E589" s="9"/>
      <c r="F589" s="10"/>
      <c r="G589" s="11"/>
      <c r="H589" s="11"/>
      <c r="I589" s="11"/>
      <c r="J589" s="11"/>
      <c r="K589" s="11"/>
      <c r="L589" s="10"/>
    </row>
    <row r="590" spans="1:12" s="24" customFormat="1" ht="19.95" customHeight="1" x14ac:dyDescent="0.25">
      <c r="A590" s="16"/>
      <c r="B590" s="14" t="s">
        <v>300</v>
      </c>
      <c r="C590" s="7"/>
      <c r="D590" s="8"/>
      <c r="E590" s="9"/>
      <c r="F590" s="10"/>
      <c r="G590" s="11"/>
      <c r="H590" s="11"/>
      <c r="I590" s="11"/>
      <c r="J590" s="11"/>
      <c r="K590" s="11"/>
      <c r="L590" s="10"/>
    </row>
    <row r="591" spans="1:12" s="24" customFormat="1" ht="19.95" customHeight="1" x14ac:dyDescent="0.25">
      <c r="A591" s="17"/>
      <c r="B591" s="38" t="s">
        <v>100</v>
      </c>
      <c r="C591" s="40">
        <f>1*A589</f>
        <v>1</v>
      </c>
      <c r="D591" s="41"/>
      <c r="E591" s="42"/>
      <c r="F591" s="43"/>
      <c r="G591" s="23">
        <v>1</v>
      </c>
      <c r="H591" s="23"/>
      <c r="I591" s="23"/>
      <c r="J591" s="23"/>
      <c r="K591" s="23"/>
      <c r="L591" s="43"/>
    </row>
    <row r="592" spans="1:12" s="33" customFormat="1" ht="19.95" customHeight="1" x14ac:dyDescent="0.25">
      <c r="A592" s="17"/>
      <c r="B592" s="38" t="s">
        <v>93</v>
      </c>
      <c r="C592" s="40">
        <f>1*A589</f>
        <v>1</v>
      </c>
      <c r="D592" s="41"/>
      <c r="E592" s="42"/>
      <c r="F592" s="43"/>
      <c r="G592" s="23"/>
      <c r="H592" s="23"/>
      <c r="I592" s="23"/>
      <c r="J592" s="23"/>
      <c r="K592" s="23"/>
      <c r="L592" s="43"/>
    </row>
    <row r="593" spans="1:12" ht="19.95" customHeight="1" x14ac:dyDescent="0.35">
      <c r="B593" s="38" t="s">
        <v>95</v>
      </c>
      <c r="C593" s="40"/>
      <c r="D593" s="41"/>
      <c r="E593" s="42"/>
      <c r="F593" s="43"/>
      <c r="G593" s="23">
        <v>2</v>
      </c>
      <c r="H593" s="23"/>
      <c r="I593" s="23"/>
      <c r="J593" s="23"/>
      <c r="K593" s="23"/>
      <c r="L593" s="43"/>
    </row>
    <row r="594" spans="1:12" ht="19.95" customHeight="1" x14ac:dyDescent="0.35">
      <c r="B594" s="38" t="s">
        <v>96</v>
      </c>
      <c r="C594" s="40">
        <f>1*A589</f>
        <v>1</v>
      </c>
      <c r="D594" s="41"/>
      <c r="E594" s="42"/>
      <c r="F594" s="43"/>
      <c r="G594" s="23"/>
      <c r="H594" s="23"/>
      <c r="I594" s="23"/>
      <c r="J594" s="23"/>
      <c r="K594" s="23"/>
      <c r="L594" s="43"/>
    </row>
    <row r="595" spans="1:12" s="24" customFormat="1" ht="19.95" customHeight="1" x14ac:dyDescent="0.25">
      <c r="A595" s="16"/>
      <c r="B595" s="28"/>
      <c r="C595" s="16"/>
      <c r="D595" s="29"/>
      <c r="E595" s="30"/>
      <c r="F595" s="31"/>
      <c r="G595" s="32"/>
      <c r="H595" s="32"/>
      <c r="I595" s="32"/>
      <c r="J595" s="32"/>
      <c r="K595" s="32"/>
      <c r="L595" s="31"/>
    </row>
    <row r="596" spans="1:12" s="24" customFormat="1" ht="19.95" customHeight="1" x14ac:dyDescent="0.25">
      <c r="A596" s="13">
        <v>1</v>
      </c>
      <c r="B596" s="14" t="s">
        <v>103</v>
      </c>
      <c r="C596" s="7"/>
      <c r="D596" s="8"/>
      <c r="E596" s="9"/>
      <c r="F596" s="10"/>
      <c r="G596" s="11"/>
      <c r="H596" s="11"/>
      <c r="I596" s="11"/>
      <c r="J596" s="11"/>
      <c r="K596" s="11"/>
      <c r="L596" s="10"/>
    </row>
    <row r="597" spans="1:12" s="24" customFormat="1" ht="19.95" customHeight="1" x14ac:dyDescent="0.25">
      <c r="A597" s="16"/>
      <c r="B597" s="14" t="s">
        <v>297</v>
      </c>
      <c r="C597" s="7"/>
      <c r="D597" s="8"/>
      <c r="E597" s="9"/>
      <c r="F597" s="10"/>
      <c r="G597" s="11"/>
      <c r="H597" s="11"/>
      <c r="I597" s="11"/>
      <c r="J597" s="11"/>
      <c r="K597" s="11"/>
      <c r="L597" s="10"/>
    </row>
    <row r="598" spans="1:12" s="24" customFormat="1" ht="19.95" customHeight="1" x14ac:dyDescent="0.25">
      <c r="A598" s="17"/>
      <c r="B598" s="39" t="s">
        <v>107</v>
      </c>
      <c r="C598" s="19"/>
      <c r="D598" s="20">
        <v>1</v>
      </c>
      <c r="E598" s="21"/>
      <c r="F598" s="22"/>
      <c r="G598" s="23"/>
      <c r="H598" s="23"/>
      <c r="I598" s="23"/>
      <c r="J598" s="23"/>
      <c r="K598" s="23"/>
      <c r="L598" s="22"/>
    </row>
    <row r="599" spans="1:12" s="33" customFormat="1" ht="19.95" customHeight="1" x14ac:dyDescent="0.25">
      <c r="A599" s="17"/>
      <c r="B599" s="39" t="s">
        <v>108</v>
      </c>
      <c r="C599" s="19">
        <v>1</v>
      </c>
      <c r="D599" s="20"/>
      <c r="E599" s="21"/>
      <c r="F599" s="22"/>
      <c r="G599" s="23"/>
      <c r="H599" s="23"/>
      <c r="I599" s="23"/>
      <c r="J599" s="23"/>
      <c r="K599" s="23"/>
      <c r="L599" s="22"/>
    </row>
    <row r="600" spans="1:12" ht="19.95" customHeight="1" x14ac:dyDescent="0.35">
      <c r="B600" s="39" t="s">
        <v>109</v>
      </c>
      <c r="C600" s="19">
        <v>1</v>
      </c>
      <c r="D600" s="20"/>
      <c r="E600" s="21"/>
      <c r="F600" s="22"/>
      <c r="G600" s="23"/>
      <c r="H600" s="23"/>
      <c r="I600" s="23"/>
      <c r="J600" s="23"/>
      <c r="K600" s="23"/>
      <c r="L600" s="22"/>
    </row>
    <row r="601" spans="1:12" ht="19.95" customHeight="1" x14ac:dyDescent="0.35">
      <c r="B601" s="38" t="s">
        <v>275</v>
      </c>
      <c r="C601" s="19">
        <v>1</v>
      </c>
      <c r="D601" s="20"/>
      <c r="E601" s="21"/>
      <c r="F601" s="22"/>
      <c r="G601" s="23"/>
      <c r="H601" s="23"/>
      <c r="I601" s="23"/>
      <c r="J601" s="23"/>
      <c r="K601" s="23"/>
      <c r="L601" s="22"/>
    </row>
    <row r="602" spans="1:12" s="24" customFormat="1" ht="19.95" customHeight="1" x14ac:dyDescent="0.25">
      <c r="A602" s="17"/>
      <c r="B602" s="38" t="s">
        <v>112</v>
      </c>
      <c r="C602" s="19"/>
      <c r="D602" s="20">
        <v>1</v>
      </c>
      <c r="E602" s="21"/>
      <c r="F602" s="64">
        <v>1</v>
      </c>
      <c r="G602" s="23"/>
      <c r="H602" s="23"/>
      <c r="I602" s="23"/>
      <c r="J602" s="23"/>
      <c r="K602" s="23"/>
      <c r="L602" s="64"/>
    </row>
    <row r="603" spans="1:12" s="24" customFormat="1" ht="19.95" customHeight="1" x14ac:dyDescent="0.25">
      <c r="A603" s="17"/>
      <c r="B603" s="38" t="s">
        <v>113</v>
      </c>
      <c r="C603" s="19">
        <v>1</v>
      </c>
      <c r="D603" s="20"/>
      <c r="E603" s="21"/>
      <c r="F603" s="64"/>
      <c r="G603" s="23"/>
      <c r="H603" s="23"/>
      <c r="I603" s="23"/>
      <c r="J603" s="23"/>
      <c r="K603" s="23"/>
      <c r="L603" s="64"/>
    </row>
    <row r="604" spans="1:12" s="24" customFormat="1" ht="19.95" customHeight="1" x14ac:dyDescent="0.25">
      <c r="A604" s="17"/>
      <c r="B604" s="38" t="s">
        <v>127</v>
      </c>
      <c r="C604" s="19">
        <v>1</v>
      </c>
      <c r="D604" s="20"/>
      <c r="E604" s="21"/>
      <c r="F604" s="64"/>
      <c r="G604" s="23"/>
      <c r="H604" s="23"/>
      <c r="I604" s="23"/>
      <c r="J604" s="23"/>
      <c r="K604" s="23"/>
      <c r="L604" s="64"/>
    </row>
    <row r="605" spans="1:12" s="24" customFormat="1" ht="19.95" customHeight="1" x14ac:dyDescent="0.25">
      <c r="A605" s="17"/>
      <c r="B605" s="38" t="s">
        <v>128</v>
      </c>
      <c r="C605" s="19">
        <v>1</v>
      </c>
      <c r="D605" s="20"/>
      <c r="E605" s="21"/>
      <c r="F605" s="64"/>
      <c r="G605" s="23"/>
      <c r="H605" s="23"/>
      <c r="I605" s="23"/>
      <c r="J605" s="23"/>
      <c r="K605" s="23"/>
      <c r="L605" s="64"/>
    </row>
    <row r="606" spans="1:12" s="24" customFormat="1" ht="19.95" customHeight="1" x14ac:dyDescent="0.25">
      <c r="A606" s="17"/>
      <c r="B606" s="38" t="s">
        <v>116</v>
      </c>
      <c r="C606" s="19"/>
      <c r="D606" s="20">
        <v>1</v>
      </c>
      <c r="E606" s="21"/>
      <c r="F606" s="64">
        <v>1</v>
      </c>
      <c r="G606" s="23"/>
      <c r="H606" s="23"/>
      <c r="I606" s="23"/>
      <c r="J606" s="23"/>
      <c r="K606" s="23"/>
      <c r="L606" s="64"/>
    </row>
    <row r="607" spans="1:12" s="24" customFormat="1" ht="19.95" customHeight="1" x14ac:dyDescent="0.25">
      <c r="A607" s="17"/>
      <c r="B607" s="38" t="s">
        <v>117</v>
      </c>
      <c r="C607" s="19">
        <v>1</v>
      </c>
      <c r="D607" s="20"/>
      <c r="E607" s="21"/>
      <c r="F607" s="22"/>
      <c r="G607" s="23"/>
      <c r="H607" s="23"/>
      <c r="I607" s="23"/>
      <c r="J607" s="23"/>
      <c r="K607" s="23"/>
      <c r="L607" s="22"/>
    </row>
    <row r="608" spans="1:12" s="24" customFormat="1" ht="19.95" customHeight="1" x14ac:dyDescent="0.25">
      <c r="A608" s="17"/>
      <c r="B608" s="38" t="s">
        <v>129</v>
      </c>
      <c r="C608" s="19">
        <v>1</v>
      </c>
      <c r="D608" s="20"/>
      <c r="E608" s="21"/>
      <c r="F608" s="22"/>
      <c r="G608" s="23"/>
      <c r="H608" s="23"/>
      <c r="I608" s="23"/>
      <c r="J608" s="23"/>
      <c r="K608" s="23"/>
      <c r="L608" s="22"/>
    </row>
    <row r="609" spans="1:12" s="24" customFormat="1" ht="19.95" customHeight="1" x14ac:dyDescent="0.25">
      <c r="A609" s="17"/>
      <c r="B609" s="38" t="s">
        <v>119</v>
      </c>
      <c r="C609" s="19">
        <v>1</v>
      </c>
      <c r="D609" s="20"/>
      <c r="E609" s="21"/>
      <c r="F609" s="22"/>
      <c r="G609" s="23"/>
      <c r="H609" s="23"/>
      <c r="I609" s="23"/>
      <c r="J609" s="23"/>
      <c r="K609" s="23"/>
      <c r="L609" s="22"/>
    </row>
    <row r="610" spans="1:12" s="24" customFormat="1" ht="19.95" customHeight="1" x14ac:dyDescent="0.25">
      <c r="A610" s="17"/>
      <c r="B610" s="38"/>
      <c r="C610" s="19"/>
      <c r="D610" s="20"/>
      <c r="E610" s="21"/>
      <c r="F610" s="22"/>
      <c r="G610" s="23"/>
      <c r="H610" s="23"/>
      <c r="I610" s="23"/>
      <c r="J610" s="23"/>
      <c r="K610" s="23"/>
      <c r="L610" s="22"/>
    </row>
    <row r="611" spans="1:12" s="24" customFormat="1" ht="19.95" customHeight="1" x14ac:dyDescent="0.25">
      <c r="A611" s="13">
        <v>1</v>
      </c>
      <c r="B611" s="14" t="s">
        <v>103</v>
      </c>
      <c r="C611" s="7"/>
      <c r="D611" s="8"/>
      <c r="E611" s="9"/>
      <c r="F611" s="10"/>
      <c r="G611" s="11"/>
      <c r="H611" s="11"/>
      <c r="I611" s="11"/>
      <c r="J611" s="11"/>
      <c r="K611" s="11"/>
      <c r="L611" s="10"/>
    </row>
    <row r="612" spans="1:12" s="24" customFormat="1" ht="19.95" customHeight="1" x14ac:dyDescent="0.25">
      <c r="A612" s="16"/>
      <c r="B612" s="14" t="s">
        <v>298</v>
      </c>
      <c r="C612" s="7"/>
      <c r="D612" s="8"/>
      <c r="E612" s="9"/>
      <c r="F612" s="10"/>
      <c r="G612" s="11"/>
      <c r="H612" s="11"/>
      <c r="I612" s="11"/>
      <c r="J612" s="11"/>
      <c r="K612" s="11"/>
      <c r="L612" s="10"/>
    </row>
    <row r="613" spans="1:12" s="24" customFormat="1" ht="19.95" customHeight="1" x14ac:dyDescent="0.25">
      <c r="A613" s="17"/>
      <c r="B613" s="39" t="s">
        <v>107</v>
      </c>
      <c r="C613" s="19"/>
      <c r="D613" s="20">
        <v>1</v>
      </c>
      <c r="E613" s="21"/>
      <c r="F613" s="22"/>
      <c r="G613" s="23"/>
      <c r="H613" s="23"/>
      <c r="I613" s="23"/>
      <c r="J613" s="23"/>
      <c r="K613" s="23"/>
      <c r="L613" s="22"/>
    </row>
    <row r="614" spans="1:12" s="24" customFormat="1" ht="19.95" customHeight="1" x14ac:dyDescent="0.25">
      <c r="A614" s="17"/>
      <c r="B614" s="39" t="s">
        <v>108</v>
      </c>
      <c r="C614" s="19">
        <v>1</v>
      </c>
      <c r="D614" s="20"/>
      <c r="E614" s="21"/>
      <c r="F614" s="22"/>
      <c r="G614" s="23"/>
      <c r="H614" s="23"/>
      <c r="I614" s="23"/>
      <c r="J614" s="23"/>
      <c r="K614" s="23"/>
      <c r="L614" s="22"/>
    </row>
    <row r="615" spans="1:12" s="24" customFormat="1" ht="19.95" customHeight="1" x14ac:dyDescent="0.25">
      <c r="A615" s="17"/>
      <c r="B615" s="39" t="s">
        <v>109</v>
      </c>
      <c r="C615" s="19">
        <v>1</v>
      </c>
      <c r="D615" s="20"/>
      <c r="E615" s="21"/>
      <c r="F615" s="22"/>
      <c r="G615" s="23"/>
      <c r="H615" s="23"/>
      <c r="I615" s="23"/>
      <c r="J615" s="23"/>
      <c r="K615" s="23"/>
      <c r="L615" s="22"/>
    </row>
    <row r="616" spans="1:12" s="24" customFormat="1" ht="19.95" customHeight="1" x14ac:dyDescent="0.25">
      <c r="A616" s="17"/>
      <c r="B616" s="38" t="s">
        <v>275</v>
      </c>
      <c r="C616" s="19">
        <v>1</v>
      </c>
      <c r="D616" s="20"/>
      <c r="E616" s="21"/>
      <c r="F616" s="22"/>
      <c r="G616" s="23"/>
      <c r="H616" s="23"/>
      <c r="I616" s="23"/>
      <c r="J616" s="23"/>
      <c r="K616" s="23"/>
      <c r="L616" s="22"/>
    </row>
    <row r="617" spans="1:12" s="24" customFormat="1" ht="19.95" customHeight="1" x14ac:dyDescent="0.25">
      <c r="A617" s="17"/>
      <c r="B617" s="38" t="s">
        <v>112</v>
      </c>
      <c r="C617" s="19"/>
      <c r="D617" s="20">
        <v>1</v>
      </c>
      <c r="E617" s="21"/>
      <c r="F617" s="64">
        <v>1</v>
      </c>
      <c r="G617" s="23"/>
      <c r="H617" s="23"/>
      <c r="I617" s="23"/>
      <c r="J617" s="23"/>
      <c r="K617" s="23"/>
      <c r="L617" s="64"/>
    </row>
    <row r="618" spans="1:12" s="24" customFormat="1" ht="19.95" customHeight="1" x14ac:dyDescent="0.25">
      <c r="A618" s="17"/>
      <c r="B618" s="38" t="s">
        <v>113</v>
      </c>
      <c r="C618" s="19">
        <v>1</v>
      </c>
      <c r="D618" s="20"/>
      <c r="E618" s="21"/>
      <c r="F618" s="64"/>
      <c r="G618" s="23"/>
      <c r="H618" s="23"/>
      <c r="I618" s="23"/>
      <c r="J618" s="23"/>
      <c r="K618" s="23"/>
      <c r="L618" s="64"/>
    </row>
    <row r="619" spans="1:12" s="24" customFormat="1" ht="19.95" customHeight="1" x14ac:dyDescent="0.25">
      <c r="A619" s="17"/>
      <c r="B619" s="38" t="s">
        <v>127</v>
      </c>
      <c r="C619" s="19">
        <v>1</v>
      </c>
      <c r="D619" s="20"/>
      <c r="E619" s="21"/>
      <c r="F619" s="64"/>
      <c r="G619" s="23"/>
      <c r="H619" s="23"/>
      <c r="I619" s="23"/>
      <c r="J619" s="23"/>
      <c r="K619" s="23"/>
      <c r="L619" s="64"/>
    </row>
    <row r="620" spans="1:12" s="24" customFormat="1" ht="19.95" customHeight="1" x14ac:dyDescent="0.25">
      <c r="A620" s="17"/>
      <c r="B620" s="38" t="s">
        <v>128</v>
      </c>
      <c r="C620" s="19">
        <v>1</v>
      </c>
      <c r="D620" s="20"/>
      <c r="E620" s="21"/>
      <c r="F620" s="64"/>
      <c r="G620" s="23"/>
      <c r="H620" s="23"/>
      <c r="I620" s="23"/>
      <c r="J620" s="23"/>
      <c r="K620" s="23"/>
      <c r="L620" s="64"/>
    </row>
    <row r="621" spans="1:12" s="24" customFormat="1" ht="19.95" customHeight="1" x14ac:dyDescent="0.25">
      <c r="A621" s="17"/>
      <c r="B621" s="38" t="s">
        <v>116</v>
      </c>
      <c r="C621" s="19"/>
      <c r="D621" s="20">
        <v>1</v>
      </c>
      <c r="E621" s="21"/>
      <c r="F621" s="64">
        <v>1</v>
      </c>
      <c r="G621" s="23"/>
      <c r="H621" s="23"/>
      <c r="I621" s="23"/>
      <c r="J621" s="23"/>
      <c r="K621" s="23"/>
      <c r="L621" s="64"/>
    </row>
    <row r="622" spans="1:12" s="24" customFormat="1" ht="19.95" customHeight="1" x14ac:dyDescent="0.25">
      <c r="A622" s="17"/>
      <c r="B622" s="38" t="s">
        <v>117</v>
      </c>
      <c r="C622" s="19">
        <v>1</v>
      </c>
      <c r="D622" s="20"/>
      <c r="E622" s="21"/>
      <c r="F622" s="22"/>
      <c r="G622" s="23"/>
      <c r="H622" s="23"/>
      <c r="I622" s="23"/>
      <c r="J622" s="23"/>
      <c r="K622" s="23"/>
      <c r="L622" s="22"/>
    </row>
    <row r="623" spans="1:12" s="24" customFormat="1" ht="19.95" customHeight="1" x14ac:dyDescent="0.25">
      <c r="A623" s="17"/>
      <c r="B623" s="38" t="s">
        <v>129</v>
      </c>
      <c r="C623" s="19">
        <v>1</v>
      </c>
      <c r="D623" s="20"/>
      <c r="E623" s="21"/>
      <c r="F623" s="22"/>
      <c r="G623" s="23"/>
      <c r="H623" s="23"/>
      <c r="I623" s="23"/>
      <c r="J623" s="23"/>
      <c r="K623" s="23"/>
      <c r="L623" s="22"/>
    </row>
    <row r="624" spans="1:12" s="24" customFormat="1" ht="19.95" customHeight="1" x14ac:dyDescent="0.25">
      <c r="A624" s="17"/>
      <c r="B624" s="38" t="s">
        <v>119</v>
      </c>
      <c r="C624" s="19">
        <v>1</v>
      </c>
      <c r="D624" s="20"/>
      <c r="E624" s="21"/>
      <c r="F624" s="22"/>
      <c r="G624" s="23"/>
      <c r="H624" s="23"/>
      <c r="I624" s="23"/>
      <c r="J624" s="23"/>
      <c r="K624" s="23"/>
      <c r="L624" s="22"/>
    </row>
    <row r="625" spans="1:12" s="24" customFormat="1" ht="19.95" customHeight="1" x14ac:dyDescent="0.25">
      <c r="A625" s="17"/>
      <c r="B625" s="38"/>
      <c r="C625" s="19"/>
      <c r="D625" s="20"/>
      <c r="E625" s="21"/>
      <c r="F625" s="22"/>
      <c r="G625" s="23"/>
      <c r="H625" s="23"/>
      <c r="I625" s="23"/>
      <c r="J625" s="23"/>
      <c r="K625" s="23"/>
      <c r="L625" s="22"/>
    </row>
    <row r="626" spans="1:12" s="24" customFormat="1" ht="19.95" customHeight="1" x14ac:dyDescent="0.25">
      <c r="A626" s="13">
        <v>2</v>
      </c>
      <c r="B626" s="14" t="s">
        <v>25</v>
      </c>
      <c r="C626" s="7"/>
      <c r="D626" s="8"/>
      <c r="E626" s="9"/>
      <c r="F626" s="10"/>
      <c r="G626" s="11"/>
      <c r="H626" s="11"/>
      <c r="I626" s="11"/>
      <c r="J626" s="11"/>
      <c r="K626" s="11"/>
      <c r="L626" s="10"/>
    </row>
    <row r="627" spans="1:12" s="12" customFormat="1" ht="19.95" customHeight="1" x14ac:dyDescent="0.3">
      <c r="A627" s="16"/>
      <c r="B627" s="14" t="s">
        <v>160</v>
      </c>
      <c r="C627" s="7"/>
      <c r="D627" s="8"/>
      <c r="E627" s="9"/>
      <c r="F627" s="10"/>
      <c r="G627" s="11"/>
      <c r="H627" s="11"/>
      <c r="I627" s="11"/>
      <c r="J627" s="11"/>
      <c r="K627" s="11"/>
      <c r="L627" s="10"/>
    </row>
    <row r="628" spans="1:12" ht="19.95" customHeight="1" x14ac:dyDescent="0.35">
      <c r="B628" s="38" t="s">
        <v>26</v>
      </c>
      <c r="C628" s="40">
        <f>1*A626</f>
        <v>2</v>
      </c>
      <c r="D628" s="41"/>
      <c r="E628" s="42"/>
      <c r="F628" s="43"/>
      <c r="G628" s="23"/>
      <c r="H628" s="23"/>
      <c r="I628" s="23"/>
      <c r="J628" s="23"/>
      <c r="K628" s="23"/>
      <c r="L628" s="43"/>
    </row>
    <row r="629" spans="1:12" ht="19.95" customHeight="1" x14ac:dyDescent="0.35">
      <c r="B629" s="38" t="s">
        <v>27</v>
      </c>
      <c r="C629" s="40">
        <f>1*A626</f>
        <v>2</v>
      </c>
      <c r="D629" s="41"/>
      <c r="E629" s="42"/>
      <c r="F629" s="43"/>
      <c r="G629" s="23"/>
      <c r="H629" s="23"/>
      <c r="I629" s="23"/>
      <c r="J629" s="23"/>
      <c r="K629" s="23"/>
      <c r="L629" s="43"/>
    </row>
    <row r="630" spans="1:12" s="24" customFormat="1" ht="19.95" customHeight="1" x14ac:dyDescent="0.25">
      <c r="A630" s="16"/>
      <c r="B630" s="28"/>
      <c r="C630" s="16"/>
      <c r="D630" s="29"/>
      <c r="E630" s="30"/>
      <c r="F630" s="31"/>
      <c r="G630" s="32"/>
      <c r="H630" s="32"/>
      <c r="I630" s="32"/>
      <c r="J630" s="32"/>
      <c r="K630" s="32"/>
      <c r="L630" s="31"/>
    </row>
    <row r="631" spans="1:12" s="24" customFormat="1" ht="19.95" customHeight="1" x14ac:dyDescent="0.25">
      <c r="A631" s="13">
        <v>1</v>
      </c>
      <c r="B631" s="14" t="s">
        <v>29</v>
      </c>
      <c r="C631" s="7"/>
      <c r="D631" s="8"/>
      <c r="E631" s="9"/>
      <c r="F631" s="10"/>
      <c r="G631" s="11"/>
      <c r="H631" s="11"/>
      <c r="I631" s="11"/>
      <c r="J631" s="11"/>
      <c r="K631" s="11"/>
      <c r="L631" s="10"/>
    </row>
    <row r="632" spans="1:12" s="24" customFormat="1" ht="19.95" customHeight="1" x14ac:dyDescent="0.25">
      <c r="A632" s="16"/>
      <c r="B632" s="14" t="s">
        <v>161</v>
      </c>
      <c r="C632" s="7"/>
      <c r="D632" s="8"/>
      <c r="E632" s="9"/>
      <c r="F632" s="10"/>
      <c r="G632" s="11"/>
      <c r="H632" s="11"/>
      <c r="I632" s="11"/>
      <c r="J632" s="11"/>
      <c r="K632" s="11"/>
      <c r="L632" s="10"/>
    </row>
    <row r="633" spans="1:12" s="24" customFormat="1" ht="19.95" customHeight="1" x14ac:dyDescent="0.25">
      <c r="A633" s="17"/>
      <c r="B633" s="38" t="s">
        <v>26</v>
      </c>
      <c r="C633" s="40">
        <v>1</v>
      </c>
      <c r="D633" s="41"/>
      <c r="E633" s="42"/>
      <c r="F633" s="43"/>
      <c r="G633" s="23"/>
      <c r="H633" s="23"/>
      <c r="I633" s="23"/>
      <c r="J633" s="23"/>
      <c r="K633" s="23"/>
      <c r="L633" s="43"/>
    </row>
    <row r="634" spans="1:12" s="24" customFormat="1" ht="19.95" customHeight="1" x14ac:dyDescent="0.25">
      <c r="A634" s="17"/>
      <c r="B634" s="38" t="s">
        <v>27</v>
      </c>
      <c r="C634" s="40">
        <v>1</v>
      </c>
      <c r="D634" s="41"/>
      <c r="E634" s="42"/>
      <c r="F634" s="43"/>
      <c r="G634" s="23"/>
      <c r="H634" s="23"/>
      <c r="I634" s="23"/>
      <c r="J634" s="23"/>
      <c r="K634" s="23"/>
      <c r="L634" s="43"/>
    </row>
    <row r="635" spans="1:12" s="33" customFormat="1" ht="19.95" customHeight="1" x14ac:dyDescent="0.25">
      <c r="A635" s="16"/>
      <c r="B635" s="28"/>
      <c r="C635" s="16"/>
      <c r="D635" s="29"/>
      <c r="E635" s="30"/>
      <c r="F635" s="31"/>
      <c r="G635" s="32"/>
      <c r="H635" s="32"/>
      <c r="I635" s="32"/>
      <c r="J635" s="32"/>
      <c r="K635" s="32"/>
      <c r="L635" s="31"/>
    </row>
    <row r="636" spans="1:12" ht="19.95" customHeight="1" x14ac:dyDescent="0.35">
      <c r="A636" s="13">
        <v>1</v>
      </c>
      <c r="B636" s="14" t="s">
        <v>162</v>
      </c>
      <c r="C636" s="7"/>
      <c r="D636" s="8"/>
      <c r="E636" s="9"/>
      <c r="F636" s="10"/>
      <c r="G636" s="11"/>
      <c r="H636" s="11"/>
      <c r="I636" s="11"/>
      <c r="J636" s="11"/>
      <c r="K636" s="11"/>
      <c r="L636" s="10"/>
    </row>
    <row r="637" spans="1:12" ht="19.95" customHeight="1" x14ac:dyDescent="0.35">
      <c r="A637" s="16"/>
      <c r="B637" s="14"/>
      <c r="C637" s="7"/>
      <c r="D637" s="8"/>
      <c r="E637" s="9"/>
      <c r="F637" s="10"/>
      <c r="G637" s="11"/>
      <c r="H637" s="11"/>
      <c r="I637" s="11"/>
      <c r="J637" s="11"/>
      <c r="K637" s="11"/>
      <c r="L637" s="10"/>
    </row>
    <row r="638" spans="1:12" s="24" customFormat="1" ht="19.95" customHeight="1" x14ac:dyDescent="0.25">
      <c r="A638" s="17"/>
      <c r="B638" s="38" t="s">
        <v>162</v>
      </c>
      <c r="C638" s="40"/>
      <c r="D638" s="41"/>
      <c r="E638" s="42">
        <v>2</v>
      </c>
      <c r="F638" s="43"/>
      <c r="G638" s="23"/>
      <c r="H638" s="23"/>
      <c r="I638" s="23"/>
      <c r="J638" s="23"/>
      <c r="K638" s="23"/>
      <c r="L638" s="43"/>
    </row>
    <row r="639" spans="1:12" s="24" customFormat="1" ht="19.95" customHeight="1" x14ac:dyDescent="0.25">
      <c r="A639" s="16"/>
      <c r="B639" s="28"/>
      <c r="C639" s="16"/>
      <c r="D639" s="29"/>
      <c r="E639" s="30"/>
      <c r="F639" s="31"/>
      <c r="G639" s="32"/>
      <c r="H639" s="32"/>
      <c r="I639" s="32"/>
      <c r="J639" s="32"/>
      <c r="K639" s="32"/>
      <c r="L639" s="31"/>
    </row>
    <row r="640" spans="1:12" s="33" customFormat="1" ht="19.95" customHeight="1" x14ac:dyDescent="0.25">
      <c r="A640" s="44"/>
      <c r="B640" s="45" t="s">
        <v>10</v>
      </c>
      <c r="C640" s="46">
        <f>SUM(C584:C638)</f>
        <v>30</v>
      </c>
      <c r="D640" s="46">
        <f t="shared" ref="D640:G640" si="0">SUM(D584:D638)</f>
        <v>6</v>
      </c>
      <c r="E640" s="46">
        <f t="shared" si="0"/>
        <v>2</v>
      </c>
      <c r="F640" s="46">
        <f t="shared" si="0"/>
        <v>4</v>
      </c>
      <c r="G640" s="46">
        <f t="shared" si="0"/>
        <v>5</v>
      </c>
      <c r="H640" s="46"/>
      <c r="I640" s="46"/>
      <c r="J640" s="46"/>
      <c r="K640" s="46"/>
      <c r="L640" s="46"/>
    </row>
    <row r="641" spans="1:12" ht="19.95" customHeight="1" x14ac:dyDescent="0.35">
      <c r="A641" s="16"/>
      <c r="B641" s="28"/>
      <c r="C641" s="49"/>
      <c r="D641" s="49"/>
      <c r="E641" s="50"/>
      <c r="F641" s="49"/>
      <c r="G641" s="49"/>
      <c r="H641" s="49"/>
      <c r="I641" s="49"/>
      <c r="J641" s="49"/>
      <c r="K641" s="49"/>
      <c r="L641" s="49"/>
    </row>
    <row r="642" spans="1:12" ht="19.95" customHeight="1" x14ac:dyDescent="0.35">
      <c r="A642" s="36" t="s">
        <v>56</v>
      </c>
      <c r="B642" s="2" t="s">
        <v>1</v>
      </c>
      <c r="C642" s="90" t="s">
        <v>2</v>
      </c>
      <c r="D642" s="90"/>
      <c r="E642" s="90"/>
      <c r="F642" s="90"/>
      <c r="G642" s="90"/>
      <c r="H642" s="95"/>
      <c r="I642" s="95"/>
      <c r="J642" s="95"/>
      <c r="K642" s="95"/>
      <c r="L642" s="15"/>
    </row>
    <row r="643" spans="1:12" s="24" customFormat="1" ht="106.8" customHeight="1" x14ac:dyDescent="0.25">
      <c r="A643" s="1"/>
      <c r="B643" s="6" t="s">
        <v>163</v>
      </c>
      <c r="C643" s="7" t="s">
        <v>4</v>
      </c>
      <c r="D643" s="8" t="s">
        <v>5</v>
      </c>
      <c r="E643" s="9" t="s">
        <v>6</v>
      </c>
      <c r="F643" s="10" t="s">
        <v>7</v>
      </c>
      <c r="G643" s="11" t="s">
        <v>8</v>
      </c>
      <c r="H643" s="11"/>
      <c r="I643" s="11"/>
      <c r="J643" s="11"/>
      <c r="K643" s="11"/>
      <c r="L643" s="10"/>
    </row>
    <row r="644" spans="1:12" s="24" customFormat="1" ht="19.95" customHeight="1" x14ac:dyDescent="0.25">
      <c r="A644" s="13">
        <v>1</v>
      </c>
      <c r="B644" s="14" t="s">
        <v>97</v>
      </c>
      <c r="C644" s="7"/>
      <c r="D644" s="8"/>
      <c r="E644" s="9"/>
      <c r="F644" s="10"/>
      <c r="G644" s="11"/>
      <c r="H644" s="11"/>
      <c r="I644" s="11"/>
      <c r="J644" s="11"/>
      <c r="K644" s="11"/>
      <c r="L644" s="10"/>
    </row>
    <row r="645" spans="1:12" s="24" customFormat="1" ht="19.95" customHeight="1" x14ac:dyDescent="0.25">
      <c r="A645" s="16"/>
      <c r="B645" s="14" t="s">
        <v>164</v>
      </c>
      <c r="C645" s="7"/>
      <c r="D645" s="8"/>
      <c r="E645" s="9"/>
      <c r="F645" s="10"/>
      <c r="G645" s="11"/>
      <c r="H645" s="11"/>
      <c r="I645" s="11"/>
      <c r="J645" s="11"/>
      <c r="K645" s="11"/>
      <c r="L645" s="10"/>
    </row>
    <row r="646" spans="1:12" s="24" customFormat="1" ht="19.95" customHeight="1" x14ac:dyDescent="0.25">
      <c r="A646" s="17"/>
      <c r="B646" s="38" t="s">
        <v>94</v>
      </c>
      <c r="C646" s="40"/>
      <c r="D646" s="41"/>
      <c r="E646" s="42"/>
      <c r="F646" s="43"/>
      <c r="G646" s="23">
        <v>1</v>
      </c>
      <c r="H646" s="23"/>
      <c r="I646" s="23"/>
      <c r="J646" s="23"/>
      <c r="K646" s="23"/>
      <c r="L646" s="43"/>
    </row>
    <row r="647" spans="1:12" s="33" customFormat="1" ht="19.95" customHeight="1" x14ac:dyDescent="0.25">
      <c r="A647" s="17"/>
      <c r="B647" s="38" t="s">
        <v>99</v>
      </c>
      <c r="C647" s="40"/>
      <c r="D647" s="41"/>
      <c r="E647" s="42"/>
      <c r="F647" s="43"/>
      <c r="G647" s="23">
        <v>1</v>
      </c>
      <c r="H647" s="23"/>
      <c r="I647" s="23"/>
      <c r="J647" s="23"/>
      <c r="K647" s="23"/>
      <c r="L647" s="43"/>
    </row>
    <row r="648" spans="1:12" ht="19.95" customHeight="1" x14ac:dyDescent="0.35">
      <c r="B648" s="38" t="s">
        <v>100</v>
      </c>
      <c r="C648" s="40">
        <v>1</v>
      </c>
      <c r="D648" s="41"/>
      <c r="E648" s="42"/>
      <c r="F648" s="43"/>
      <c r="G648" s="23">
        <v>1</v>
      </c>
      <c r="H648" s="23"/>
      <c r="I648" s="23"/>
      <c r="J648" s="23"/>
      <c r="K648" s="23"/>
      <c r="L648" s="43"/>
    </row>
    <row r="649" spans="1:12" ht="19.95" customHeight="1" x14ac:dyDescent="0.35">
      <c r="B649" s="38" t="s">
        <v>93</v>
      </c>
      <c r="C649" s="40">
        <v>1</v>
      </c>
      <c r="D649" s="41"/>
      <c r="E649" s="42"/>
      <c r="F649" s="43"/>
      <c r="G649" s="23"/>
      <c r="H649" s="23"/>
      <c r="I649" s="23"/>
      <c r="J649" s="23"/>
      <c r="K649" s="23"/>
      <c r="L649" s="43"/>
    </row>
    <row r="650" spans="1:12" s="24" customFormat="1" ht="19.95" customHeight="1" x14ac:dyDescent="0.25">
      <c r="A650" s="17"/>
      <c r="B650" s="38" t="s">
        <v>101</v>
      </c>
      <c r="C650" s="40">
        <v>1</v>
      </c>
      <c r="D650" s="41"/>
      <c r="E650" s="42"/>
      <c r="F650" s="43"/>
      <c r="G650" s="23"/>
      <c r="H650" s="23"/>
      <c r="I650" s="23"/>
      <c r="J650" s="23"/>
      <c r="K650" s="23"/>
      <c r="L650" s="43"/>
    </row>
    <row r="651" spans="1:12" s="24" customFormat="1" ht="19.95" customHeight="1" x14ac:dyDescent="0.25">
      <c r="A651" s="16"/>
      <c r="B651" s="28"/>
      <c r="C651" s="16"/>
      <c r="D651" s="29"/>
      <c r="E651" s="30"/>
      <c r="F651" s="31"/>
      <c r="G651" s="32"/>
      <c r="H651" s="32"/>
      <c r="I651" s="32"/>
      <c r="J651" s="32"/>
      <c r="K651" s="32"/>
      <c r="L651" s="31"/>
    </row>
    <row r="652" spans="1:12" s="24" customFormat="1" ht="19.95" customHeight="1" x14ac:dyDescent="0.25">
      <c r="A652" s="13">
        <v>4</v>
      </c>
      <c r="B652" s="14" t="s">
        <v>130</v>
      </c>
      <c r="C652" s="7"/>
      <c r="D652" s="8"/>
      <c r="E652" s="9"/>
      <c r="F652" s="10"/>
      <c r="G652" s="11"/>
      <c r="H652" s="11"/>
      <c r="I652" s="11"/>
      <c r="J652" s="11"/>
      <c r="K652" s="11"/>
      <c r="L652" s="10"/>
    </row>
    <row r="653" spans="1:12" s="24" customFormat="1" ht="36.6" customHeight="1" x14ac:dyDescent="0.25">
      <c r="A653" s="16"/>
      <c r="B653" s="14" t="s">
        <v>301</v>
      </c>
      <c r="C653" s="7"/>
      <c r="D653" s="8"/>
      <c r="E653" s="9"/>
      <c r="F653" s="10"/>
      <c r="G653" s="11"/>
      <c r="H653" s="11"/>
      <c r="I653" s="11"/>
      <c r="J653" s="11"/>
      <c r="K653" s="11"/>
      <c r="L653" s="10"/>
    </row>
    <row r="654" spans="1:12" s="24" customFormat="1" ht="19.95" customHeight="1" x14ac:dyDescent="0.25">
      <c r="A654" s="17"/>
      <c r="B654" s="38" t="s">
        <v>131</v>
      </c>
      <c r="C654" s="40"/>
      <c r="D654" s="41">
        <f>A652*1</f>
        <v>4</v>
      </c>
      <c r="E654" s="42"/>
      <c r="F654" s="43"/>
      <c r="G654" s="23"/>
      <c r="H654" s="23"/>
      <c r="I654" s="23"/>
      <c r="J654" s="23"/>
      <c r="K654" s="23"/>
      <c r="L654" s="43"/>
    </row>
    <row r="655" spans="1:12" s="33" customFormat="1" ht="19.95" customHeight="1" x14ac:dyDescent="0.25">
      <c r="A655" s="17"/>
      <c r="B655" s="38" t="s">
        <v>132</v>
      </c>
      <c r="C655" s="40">
        <f>A652*1</f>
        <v>4</v>
      </c>
      <c r="D655" s="41"/>
      <c r="E655" s="42"/>
      <c r="F655" s="43"/>
      <c r="G655" s="23">
        <v>4</v>
      </c>
      <c r="H655" s="23"/>
      <c r="I655" s="23"/>
      <c r="J655" s="23"/>
      <c r="K655" s="23"/>
      <c r="L655" s="43"/>
    </row>
    <row r="656" spans="1:12" ht="19.95" customHeight="1" x14ac:dyDescent="0.35">
      <c r="B656" s="38" t="s">
        <v>93</v>
      </c>
      <c r="C656" s="40">
        <f>C655</f>
        <v>4</v>
      </c>
      <c r="D656" s="41"/>
      <c r="E656" s="42"/>
      <c r="F656" s="43"/>
      <c r="G656" s="23"/>
      <c r="H656" s="23"/>
      <c r="I656" s="23"/>
      <c r="J656" s="23"/>
      <c r="K656" s="23"/>
      <c r="L656" s="43"/>
    </row>
    <row r="657" spans="1:12" ht="19.95" customHeight="1" x14ac:dyDescent="0.35">
      <c r="B657" s="38" t="s">
        <v>133</v>
      </c>
      <c r="C657" s="40">
        <f>C655</f>
        <v>4</v>
      </c>
      <c r="D657" s="41"/>
      <c r="E657" s="42"/>
      <c r="F657" s="43"/>
      <c r="G657" s="23"/>
      <c r="H657" s="23"/>
      <c r="I657" s="23"/>
      <c r="J657" s="23"/>
      <c r="K657" s="23"/>
      <c r="L657" s="43"/>
    </row>
    <row r="658" spans="1:12" s="24" customFormat="1" ht="19.95" customHeight="1" x14ac:dyDescent="0.25">
      <c r="A658" s="16"/>
      <c r="B658" s="28"/>
      <c r="C658" s="16"/>
      <c r="D658" s="29"/>
      <c r="E658" s="30"/>
      <c r="F658" s="31"/>
      <c r="G658" s="32"/>
      <c r="H658" s="32"/>
      <c r="I658" s="32"/>
      <c r="J658" s="32"/>
      <c r="K658" s="32"/>
      <c r="L658" s="31"/>
    </row>
    <row r="659" spans="1:12" s="24" customFormat="1" ht="19.95" customHeight="1" x14ac:dyDescent="0.25">
      <c r="A659" s="13">
        <v>2</v>
      </c>
      <c r="B659" s="14" t="s">
        <v>137</v>
      </c>
      <c r="C659" s="7"/>
      <c r="D659" s="8"/>
      <c r="E659" s="9"/>
      <c r="F659" s="10"/>
      <c r="G659" s="11"/>
      <c r="H659" s="11"/>
      <c r="I659" s="11"/>
      <c r="J659" s="11"/>
      <c r="K659" s="11"/>
      <c r="L659" s="10"/>
    </row>
    <row r="660" spans="1:12" s="33" customFormat="1" ht="24" customHeight="1" x14ac:dyDescent="0.25">
      <c r="A660" s="16"/>
      <c r="B660" s="14" t="s">
        <v>302</v>
      </c>
      <c r="C660" s="7"/>
      <c r="D660" s="8"/>
      <c r="E660" s="9"/>
      <c r="F660" s="10"/>
      <c r="G660" s="11"/>
      <c r="H660" s="11"/>
      <c r="I660" s="11"/>
      <c r="J660" s="11"/>
      <c r="K660" s="11"/>
      <c r="L660" s="10"/>
    </row>
    <row r="661" spans="1:12" s="24" customFormat="1" ht="20.399999999999999" customHeight="1" x14ac:dyDescent="0.25">
      <c r="A661" s="17"/>
      <c r="B661" s="38" t="s">
        <v>100</v>
      </c>
      <c r="C661" s="40">
        <f>A659</f>
        <v>2</v>
      </c>
      <c r="D661" s="41"/>
      <c r="E661" s="42"/>
      <c r="F661" s="43"/>
      <c r="G661" s="23">
        <v>2</v>
      </c>
      <c r="H661" s="23"/>
      <c r="I661" s="23"/>
      <c r="J661" s="23"/>
      <c r="K661" s="23"/>
      <c r="L661" s="43"/>
    </row>
    <row r="662" spans="1:12" ht="19.95" customHeight="1" x14ac:dyDescent="0.35">
      <c r="B662" s="38" t="s">
        <v>93</v>
      </c>
      <c r="C662" s="40">
        <f>A659</f>
        <v>2</v>
      </c>
      <c r="D662" s="41"/>
      <c r="E662" s="42"/>
      <c r="F662" s="43"/>
      <c r="G662" s="23"/>
      <c r="H662" s="23"/>
      <c r="I662" s="23"/>
      <c r="J662" s="23"/>
      <c r="K662" s="23"/>
      <c r="L662" s="43"/>
    </row>
    <row r="663" spans="1:12" s="33" customFormat="1" ht="19.95" customHeight="1" x14ac:dyDescent="0.25">
      <c r="A663" s="17"/>
      <c r="B663" s="38" t="s">
        <v>95</v>
      </c>
      <c r="C663" s="40"/>
      <c r="D663" s="41"/>
      <c r="E663" s="42"/>
      <c r="F663" s="43"/>
      <c r="G663" s="23">
        <v>1</v>
      </c>
      <c r="H663" s="23"/>
      <c r="I663" s="23"/>
      <c r="J663" s="23"/>
      <c r="K663" s="23"/>
      <c r="L663" s="43"/>
    </row>
    <row r="664" spans="1:12" ht="19.95" customHeight="1" x14ac:dyDescent="0.35">
      <c r="B664" s="38" t="s">
        <v>96</v>
      </c>
      <c r="C664" s="40">
        <f>A659</f>
        <v>2</v>
      </c>
      <c r="D664" s="41"/>
      <c r="E664" s="42"/>
      <c r="F664" s="43"/>
      <c r="G664" s="23"/>
      <c r="H664" s="23"/>
      <c r="I664" s="23"/>
      <c r="J664" s="23"/>
      <c r="K664" s="23"/>
      <c r="L664" s="43"/>
    </row>
    <row r="665" spans="1:12" ht="19.95" customHeight="1" x14ac:dyDescent="0.35">
      <c r="A665" s="16"/>
      <c r="B665" s="28"/>
      <c r="C665" s="16"/>
      <c r="D665" s="29"/>
      <c r="E665" s="30"/>
      <c r="F665" s="31"/>
      <c r="G665" s="32"/>
      <c r="H665" s="32"/>
      <c r="I665" s="32"/>
      <c r="J665" s="32"/>
      <c r="K665" s="32"/>
      <c r="L665" s="31"/>
    </row>
    <row r="666" spans="1:12" s="24" customFormat="1" ht="19.95" customHeight="1" x14ac:dyDescent="0.25">
      <c r="A666" s="13">
        <v>2</v>
      </c>
      <c r="B666" s="14" t="s">
        <v>91</v>
      </c>
      <c r="C666" s="7"/>
      <c r="D666" s="8"/>
      <c r="E666" s="9"/>
      <c r="F666" s="10"/>
      <c r="G666" s="11"/>
      <c r="H666" s="11"/>
      <c r="I666" s="11"/>
      <c r="J666" s="11"/>
      <c r="K666" s="11"/>
      <c r="L666" s="10"/>
    </row>
    <row r="667" spans="1:12" ht="19.95" customHeight="1" x14ac:dyDescent="0.35">
      <c r="A667" s="16"/>
      <c r="B667" s="14" t="s">
        <v>303</v>
      </c>
      <c r="C667" s="7"/>
      <c r="D667" s="8"/>
      <c r="E667" s="9"/>
      <c r="F667" s="10"/>
      <c r="G667" s="11"/>
      <c r="H667" s="11"/>
      <c r="I667" s="11"/>
      <c r="J667" s="11"/>
      <c r="K667" s="11"/>
      <c r="L667" s="10"/>
    </row>
    <row r="668" spans="1:12" s="24" customFormat="1" ht="19.95" customHeight="1" x14ac:dyDescent="0.25">
      <c r="A668" s="17"/>
      <c r="B668" s="38" t="s">
        <v>100</v>
      </c>
      <c r="C668" s="40">
        <f>A666</f>
        <v>2</v>
      </c>
      <c r="D668" s="41"/>
      <c r="E668" s="42"/>
      <c r="F668" s="43"/>
      <c r="G668" s="23">
        <v>2</v>
      </c>
      <c r="H668" s="23"/>
      <c r="I668" s="23"/>
      <c r="J668" s="23"/>
      <c r="K668" s="23"/>
      <c r="L668" s="43"/>
    </row>
    <row r="669" spans="1:12" s="33" customFormat="1" ht="19.95" customHeight="1" x14ac:dyDescent="0.25">
      <c r="A669" s="17"/>
      <c r="B669" s="38" t="s">
        <v>93</v>
      </c>
      <c r="C669" s="40">
        <f>A666</f>
        <v>2</v>
      </c>
      <c r="D669" s="41"/>
      <c r="E669" s="42"/>
      <c r="F669" s="43"/>
      <c r="G669" s="23"/>
      <c r="H669" s="23"/>
      <c r="I669" s="23"/>
      <c r="J669" s="23"/>
      <c r="K669" s="23"/>
      <c r="L669" s="43"/>
    </row>
    <row r="670" spans="1:12" ht="19.95" customHeight="1" x14ac:dyDescent="0.35">
      <c r="B670" s="38" t="s">
        <v>95</v>
      </c>
      <c r="C670" s="40"/>
      <c r="D670" s="41"/>
      <c r="E670" s="42"/>
      <c r="F670" s="43"/>
      <c r="G670" s="23">
        <v>1</v>
      </c>
      <c r="H670" s="23"/>
      <c r="I670" s="23"/>
      <c r="J670" s="23"/>
      <c r="K670" s="23"/>
      <c r="L670" s="43"/>
    </row>
    <row r="671" spans="1:12" ht="19.95" customHeight="1" x14ac:dyDescent="0.35">
      <c r="B671" s="38" t="s">
        <v>96</v>
      </c>
      <c r="C671" s="40">
        <f>A666</f>
        <v>2</v>
      </c>
      <c r="D671" s="41"/>
      <c r="E671" s="42"/>
      <c r="F671" s="43"/>
      <c r="G671" s="23"/>
      <c r="H671" s="23"/>
      <c r="I671" s="23"/>
      <c r="J671" s="23"/>
      <c r="K671" s="23"/>
      <c r="L671" s="43"/>
    </row>
    <row r="672" spans="1:12" s="24" customFormat="1" ht="19.95" customHeight="1" x14ac:dyDescent="0.25">
      <c r="A672" s="16"/>
      <c r="B672" s="28"/>
      <c r="C672" s="16"/>
      <c r="D672" s="29"/>
      <c r="E672" s="30"/>
      <c r="F672" s="31"/>
      <c r="G672" s="32"/>
      <c r="H672" s="32"/>
      <c r="I672" s="32"/>
      <c r="J672" s="32"/>
      <c r="K672" s="32"/>
      <c r="L672" s="31"/>
    </row>
    <row r="673" spans="1:12" s="24" customFormat="1" ht="19.95" customHeight="1" x14ac:dyDescent="0.25">
      <c r="A673" s="13">
        <v>1</v>
      </c>
      <c r="B673" s="14" t="s">
        <v>103</v>
      </c>
      <c r="C673" s="7"/>
      <c r="D673" s="8"/>
      <c r="E673" s="9"/>
      <c r="F673" s="10"/>
      <c r="G673" s="11"/>
      <c r="H673" s="11"/>
      <c r="I673" s="11"/>
      <c r="J673" s="11"/>
      <c r="K673" s="11"/>
      <c r="L673" s="10"/>
    </row>
    <row r="674" spans="1:12" s="24" customFormat="1" ht="19.95" customHeight="1" x14ac:dyDescent="0.25">
      <c r="A674" s="17"/>
      <c r="B674" s="14" t="s">
        <v>304</v>
      </c>
      <c r="C674" s="7"/>
      <c r="D674" s="8"/>
      <c r="E674" s="9"/>
      <c r="F674" s="10"/>
      <c r="G674" s="11"/>
      <c r="H674" s="11"/>
      <c r="I674" s="11"/>
      <c r="J674" s="11"/>
      <c r="K674" s="11"/>
      <c r="L674" s="10"/>
    </row>
    <row r="675" spans="1:12" s="33" customFormat="1" ht="19.95" customHeight="1" x14ac:dyDescent="0.25">
      <c r="A675" s="17"/>
      <c r="B675" s="39" t="s">
        <v>105</v>
      </c>
      <c r="C675" s="19"/>
      <c r="D675" s="20"/>
      <c r="E675" s="21">
        <v>2</v>
      </c>
      <c r="F675" s="22"/>
      <c r="G675" s="23"/>
      <c r="H675" s="23"/>
      <c r="I675" s="23"/>
      <c r="J675" s="23"/>
      <c r="K675" s="23"/>
      <c r="L675" s="22"/>
    </row>
    <row r="676" spans="1:12" ht="19.95" customHeight="1" x14ac:dyDescent="0.35">
      <c r="B676" s="38" t="s">
        <v>72</v>
      </c>
      <c r="C676" s="19"/>
      <c r="D676" s="20"/>
      <c r="E676" s="21">
        <v>2</v>
      </c>
      <c r="F676" s="22"/>
      <c r="G676" s="23"/>
      <c r="H676" s="23"/>
      <c r="I676" s="23"/>
      <c r="J676" s="23"/>
      <c r="K676" s="23"/>
      <c r="L676" s="22"/>
    </row>
    <row r="677" spans="1:12" ht="19.95" customHeight="1" x14ac:dyDescent="0.35">
      <c r="B677" s="38" t="s">
        <v>15</v>
      </c>
      <c r="C677" s="19"/>
      <c r="D677" s="20"/>
      <c r="E677" s="21">
        <v>2</v>
      </c>
      <c r="F677" s="22"/>
      <c r="G677" s="23"/>
      <c r="H677" s="23"/>
      <c r="I677" s="23"/>
      <c r="J677" s="23"/>
      <c r="K677" s="23"/>
      <c r="L677" s="22"/>
    </row>
    <row r="678" spans="1:12" s="24" customFormat="1" ht="19.95" customHeight="1" x14ac:dyDescent="0.25">
      <c r="A678" s="17"/>
      <c r="B678" s="39" t="s">
        <v>277</v>
      </c>
      <c r="C678" s="19"/>
      <c r="D678" s="20"/>
      <c r="E678" s="21">
        <v>2</v>
      </c>
      <c r="F678" s="22"/>
      <c r="G678" s="23"/>
      <c r="H678" s="23"/>
      <c r="I678" s="23"/>
      <c r="J678" s="23"/>
      <c r="K678" s="23"/>
      <c r="L678" s="22"/>
    </row>
    <row r="679" spans="1:12" s="24" customFormat="1" ht="19.95" customHeight="1" x14ac:dyDescent="0.25">
      <c r="A679" s="17"/>
      <c r="B679" s="38" t="s">
        <v>82</v>
      </c>
      <c r="C679" s="19"/>
      <c r="D679" s="20"/>
      <c r="E679" s="21">
        <v>2</v>
      </c>
      <c r="F679" s="22"/>
      <c r="G679" s="23"/>
      <c r="H679" s="23"/>
      <c r="I679" s="23"/>
      <c r="J679" s="23"/>
      <c r="K679" s="23"/>
      <c r="L679" s="22"/>
    </row>
    <row r="680" spans="1:12" s="24" customFormat="1" ht="19.95" customHeight="1" x14ac:dyDescent="0.25">
      <c r="A680" s="17"/>
      <c r="B680" s="38" t="s">
        <v>106</v>
      </c>
      <c r="C680" s="19"/>
      <c r="D680" s="20"/>
      <c r="E680" s="21">
        <v>1</v>
      </c>
      <c r="F680" s="22"/>
      <c r="G680" s="23"/>
      <c r="H680" s="23"/>
      <c r="I680" s="23"/>
      <c r="J680" s="23"/>
      <c r="K680" s="23"/>
      <c r="L680" s="22"/>
    </row>
    <row r="681" spans="1:12" s="24" customFormat="1" ht="19.95" customHeight="1" x14ac:dyDescent="0.25">
      <c r="A681" s="17"/>
      <c r="B681" s="38" t="s">
        <v>278</v>
      </c>
      <c r="C681" s="19">
        <v>1</v>
      </c>
      <c r="D681" s="20"/>
      <c r="E681" s="21"/>
      <c r="F681" s="22"/>
      <c r="G681" s="23"/>
      <c r="H681" s="23"/>
      <c r="I681" s="23"/>
      <c r="J681" s="23"/>
      <c r="K681" s="23"/>
      <c r="L681" s="22"/>
    </row>
    <row r="682" spans="1:12" s="33" customFormat="1" ht="19.95" customHeight="1" x14ac:dyDescent="0.25">
      <c r="A682" s="17"/>
      <c r="B682" s="38" t="s">
        <v>125</v>
      </c>
      <c r="C682" s="19">
        <v>1</v>
      </c>
      <c r="D682" s="20"/>
      <c r="E682" s="21"/>
      <c r="F682" s="22"/>
      <c r="G682" s="23"/>
      <c r="H682" s="23"/>
      <c r="I682" s="23"/>
      <c r="J682" s="23"/>
      <c r="K682" s="23"/>
      <c r="L682" s="22"/>
    </row>
    <row r="683" spans="1:12" ht="19.95" customHeight="1" x14ac:dyDescent="0.35">
      <c r="B683" s="39" t="s">
        <v>110</v>
      </c>
      <c r="C683" s="19"/>
      <c r="D683" s="20"/>
      <c r="E683" s="21">
        <v>1</v>
      </c>
      <c r="F683" s="22">
        <v>1</v>
      </c>
      <c r="G683" s="23"/>
      <c r="H683" s="23"/>
      <c r="I683" s="23"/>
      <c r="J683" s="23"/>
      <c r="K683" s="23"/>
      <c r="L683" s="22"/>
    </row>
    <row r="684" spans="1:12" ht="19.95" customHeight="1" x14ac:dyDescent="0.35">
      <c r="B684" s="39" t="s">
        <v>24</v>
      </c>
      <c r="C684" s="19"/>
      <c r="D684" s="20"/>
      <c r="E684" s="21">
        <v>1</v>
      </c>
      <c r="F684" s="22"/>
      <c r="G684" s="23"/>
      <c r="H684" s="23"/>
      <c r="I684" s="23"/>
      <c r="J684" s="23"/>
      <c r="K684" s="23"/>
      <c r="L684" s="22"/>
    </row>
    <row r="685" spans="1:12" s="24" customFormat="1" ht="19.95" customHeight="1" x14ac:dyDescent="0.25">
      <c r="A685" s="17"/>
      <c r="B685" s="38" t="s">
        <v>18</v>
      </c>
      <c r="C685" s="19"/>
      <c r="D685" s="20"/>
      <c r="E685" s="21">
        <v>1</v>
      </c>
      <c r="F685" s="22"/>
      <c r="G685" s="23"/>
      <c r="H685" s="23"/>
      <c r="I685" s="23"/>
      <c r="J685" s="23"/>
      <c r="K685" s="23"/>
      <c r="L685" s="22"/>
    </row>
    <row r="686" spans="1:12" s="33" customFormat="1" ht="19.95" customHeight="1" x14ac:dyDescent="0.25">
      <c r="A686" s="17"/>
      <c r="B686" s="38" t="s">
        <v>111</v>
      </c>
      <c r="C686" s="19"/>
      <c r="D686" s="20"/>
      <c r="E686" s="21">
        <v>1</v>
      </c>
      <c r="F686" s="22"/>
      <c r="G686" s="23"/>
      <c r="H686" s="23"/>
      <c r="I686" s="23"/>
      <c r="J686" s="23"/>
      <c r="K686" s="23"/>
      <c r="L686" s="22"/>
    </row>
    <row r="687" spans="1:12" ht="19.95" customHeight="1" x14ac:dyDescent="0.35">
      <c r="C687" s="19"/>
      <c r="D687" s="20"/>
      <c r="E687" s="21"/>
      <c r="F687" s="22"/>
      <c r="G687" s="23"/>
      <c r="H687" s="23"/>
      <c r="I687" s="23"/>
      <c r="J687" s="23"/>
      <c r="K687" s="23"/>
      <c r="L687" s="22"/>
    </row>
    <row r="688" spans="1:12" ht="19.95" customHeight="1" x14ac:dyDescent="0.35">
      <c r="A688" s="13">
        <v>1</v>
      </c>
      <c r="B688" s="14" t="s">
        <v>103</v>
      </c>
      <c r="C688" s="16"/>
      <c r="D688" s="29"/>
      <c r="E688" s="30"/>
      <c r="F688" s="31"/>
      <c r="G688" s="23"/>
      <c r="H688" s="23"/>
      <c r="I688" s="23"/>
      <c r="J688" s="23"/>
      <c r="K688" s="23"/>
      <c r="L688" s="31"/>
    </row>
    <row r="689" spans="1:12" s="24" customFormat="1" ht="19.95" customHeight="1" x14ac:dyDescent="0.25">
      <c r="A689" s="17"/>
      <c r="B689" s="14" t="s">
        <v>305</v>
      </c>
      <c r="C689" s="7"/>
      <c r="D689" s="8"/>
      <c r="E689" s="9"/>
      <c r="F689" s="10"/>
      <c r="G689" s="11"/>
      <c r="H689" s="11"/>
      <c r="I689" s="11"/>
      <c r="J689" s="11"/>
      <c r="K689" s="11"/>
      <c r="L689" s="10"/>
    </row>
    <row r="690" spans="1:12" s="24" customFormat="1" ht="19.95" customHeight="1" x14ac:dyDescent="0.25">
      <c r="A690" s="17"/>
      <c r="B690" s="39" t="s">
        <v>105</v>
      </c>
      <c r="C690" s="19"/>
      <c r="D690" s="20"/>
      <c r="E690" s="21">
        <v>2</v>
      </c>
      <c r="F690" s="22"/>
      <c r="G690" s="23"/>
      <c r="H690" s="23"/>
      <c r="I690" s="23"/>
      <c r="J690" s="23"/>
      <c r="K690" s="23"/>
      <c r="L690" s="22"/>
    </row>
    <row r="691" spans="1:12" s="24" customFormat="1" ht="19.95" customHeight="1" x14ac:dyDescent="0.25">
      <c r="A691" s="17"/>
      <c r="B691" s="38" t="s">
        <v>72</v>
      </c>
      <c r="C691" s="19"/>
      <c r="D691" s="20"/>
      <c r="E691" s="21">
        <v>2</v>
      </c>
      <c r="F691" s="22"/>
      <c r="G691" s="23"/>
      <c r="H691" s="23"/>
      <c r="I691" s="23"/>
      <c r="J691" s="23"/>
      <c r="K691" s="23"/>
      <c r="L691" s="22"/>
    </row>
    <row r="692" spans="1:12" s="24" customFormat="1" ht="19.95" customHeight="1" x14ac:dyDescent="0.25">
      <c r="A692" s="17"/>
      <c r="B692" s="38" t="s">
        <v>15</v>
      </c>
      <c r="C692" s="19"/>
      <c r="D692" s="20"/>
      <c r="E692" s="21">
        <v>2</v>
      </c>
      <c r="F692" s="22"/>
      <c r="G692" s="23"/>
      <c r="H692" s="23"/>
      <c r="I692" s="23"/>
      <c r="J692" s="23"/>
      <c r="K692" s="23"/>
      <c r="L692" s="22"/>
    </row>
    <row r="693" spans="1:12" s="33" customFormat="1" ht="19.95" customHeight="1" x14ac:dyDescent="0.25">
      <c r="A693" s="17"/>
      <c r="B693" s="39" t="s">
        <v>277</v>
      </c>
      <c r="C693" s="19"/>
      <c r="D693" s="20"/>
      <c r="E693" s="21">
        <v>2</v>
      </c>
      <c r="F693" s="22"/>
      <c r="G693" s="23"/>
      <c r="H693" s="23"/>
      <c r="I693" s="23"/>
      <c r="J693" s="23"/>
      <c r="K693" s="23"/>
      <c r="L693" s="22"/>
    </row>
    <row r="694" spans="1:12" ht="19.95" customHeight="1" x14ac:dyDescent="0.35">
      <c r="B694" s="38" t="s">
        <v>82</v>
      </c>
      <c r="C694" s="19"/>
      <c r="D694" s="20"/>
      <c r="E694" s="21">
        <v>2</v>
      </c>
      <c r="F694" s="22"/>
      <c r="G694" s="23"/>
      <c r="H694" s="23"/>
      <c r="I694" s="23"/>
      <c r="J694" s="23"/>
      <c r="K694" s="23"/>
      <c r="L694" s="22"/>
    </row>
    <row r="695" spans="1:12" ht="19.95" customHeight="1" x14ac:dyDescent="0.35">
      <c r="B695" s="38" t="s">
        <v>106</v>
      </c>
      <c r="C695" s="19"/>
      <c r="D695" s="20"/>
      <c r="E695" s="21">
        <v>1</v>
      </c>
      <c r="F695" s="22"/>
      <c r="G695" s="23"/>
      <c r="H695" s="23"/>
      <c r="I695" s="23"/>
      <c r="J695" s="23"/>
      <c r="K695" s="23"/>
      <c r="L695" s="22"/>
    </row>
    <row r="696" spans="1:12" s="24" customFormat="1" ht="19.95" customHeight="1" x14ac:dyDescent="0.25">
      <c r="A696" s="17"/>
      <c r="B696" s="38" t="s">
        <v>278</v>
      </c>
      <c r="C696" s="19">
        <v>1</v>
      </c>
      <c r="D696" s="20"/>
      <c r="E696" s="21"/>
      <c r="F696" s="22"/>
      <c r="G696" s="23"/>
      <c r="H696" s="23"/>
      <c r="I696" s="23"/>
      <c r="J696" s="23"/>
      <c r="K696" s="23"/>
      <c r="L696" s="22"/>
    </row>
    <row r="697" spans="1:12" s="24" customFormat="1" ht="19.95" customHeight="1" x14ac:dyDescent="0.25">
      <c r="A697" s="17"/>
      <c r="B697" s="38" t="s">
        <v>125</v>
      </c>
      <c r="C697" s="19">
        <v>1</v>
      </c>
      <c r="D697" s="20"/>
      <c r="E697" s="21"/>
      <c r="F697" s="22"/>
      <c r="G697" s="23"/>
      <c r="H697" s="23"/>
      <c r="I697" s="23"/>
      <c r="J697" s="23"/>
      <c r="K697" s="23"/>
      <c r="L697" s="22"/>
    </row>
    <row r="698" spans="1:12" s="24" customFormat="1" ht="19.95" customHeight="1" x14ac:dyDescent="0.25">
      <c r="A698" s="17"/>
      <c r="B698" s="39" t="s">
        <v>110</v>
      </c>
      <c r="C698" s="19"/>
      <c r="D698" s="20"/>
      <c r="E698" s="21">
        <v>1</v>
      </c>
      <c r="F698" s="22">
        <v>1</v>
      </c>
      <c r="G698" s="23"/>
      <c r="H698" s="23"/>
      <c r="I698" s="23"/>
      <c r="J698" s="23"/>
      <c r="K698" s="23"/>
      <c r="L698" s="22"/>
    </row>
    <row r="699" spans="1:12" s="24" customFormat="1" ht="19.95" customHeight="1" x14ac:dyDescent="0.25">
      <c r="A699" s="17"/>
      <c r="B699" s="39" t="s">
        <v>24</v>
      </c>
      <c r="C699" s="19"/>
      <c r="D699" s="20"/>
      <c r="E699" s="21">
        <v>1</v>
      </c>
      <c r="F699" s="22"/>
      <c r="G699" s="23"/>
      <c r="H699" s="23"/>
      <c r="I699" s="23"/>
      <c r="J699" s="23"/>
      <c r="K699" s="23"/>
      <c r="L699" s="22"/>
    </row>
    <row r="700" spans="1:12" s="24" customFormat="1" ht="19.95" customHeight="1" x14ac:dyDescent="0.25">
      <c r="A700" s="17"/>
      <c r="B700" s="38" t="s">
        <v>18</v>
      </c>
      <c r="C700" s="19"/>
      <c r="D700" s="20"/>
      <c r="E700" s="21">
        <v>1</v>
      </c>
      <c r="F700" s="22"/>
      <c r="G700" s="23"/>
      <c r="H700" s="23"/>
      <c r="I700" s="23"/>
      <c r="J700" s="23"/>
      <c r="K700" s="23"/>
      <c r="L700" s="22"/>
    </row>
    <row r="701" spans="1:12" s="24" customFormat="1" ht="19.95" customHeight="1" x14ac:dyDescent="0.25">
      <c r="A701" s="17"/>
      <c r="B701" s="38" t="s">
        <v>111</v>
      </c>
      <c r="C701" s="19"/>
      <c r="D701" s="20"/>
      <c r="E701" s="21">
        <v>1</v>
      </c>
      <c r="F701" s="22"/>
      <c r="G701" s="23"/>
      <c r="H701" s="23"/>
      <c r="I701" s="23"/>
      <c r="J701" s="23"/>
      <c r="K701" s="23"/>
      <c r="L701" s="22"/>
    </row>
    <row r="702" spans="1:12" s="24" customFormat="1" ht="19.95" customHeight="1" x14ac:dyDescent="0.25">
      <c r="A702" s="17"/>
      <c r="B702" s="38"/>
      <c r="C702" s="40"/>
      <c r="D702" s="41"/>
      <c r="E702" s="42"/>
      <c r="F702" s="43"/>
      <c r="G702" s="23"/>
      <c r="H702" s="23"/>
      <c r="I702" s="23"/>
      <c r="J702" s="23"/>
      <c r="K702" s="23"/>
      <c r="L702" s="43"/>
    </row>
    <row r="703" spans="1:12" s="24" customFormat="1" ht="19.95" customHeight="1" x14ac:dyDescent="0.25">
      <c r="A703" s="44"/>
      <c r="B703" s="45" t="s">
        <v>10</v>
      </c>
      <c r="C703" s="46">
        <f>SUM(C646:C701)</f>
        <v>31</v>
      </c>
      <c r="D703" s="46">
        <f>SUM(D646:D701)</f>
        <v>4</v>
      </c>
      <c r="E703" s="46">
        <f>SUM(E646:E701)</f>
        <v>30</v>
      </c>
      <c r="F703" s="46">
        <f>SUM(F646:F701)</f>
        <v>2</v>
      </c>
      <c r="G703" s="46">
        <f>SUM(G646:G701)</f>
        <v>13</v>
      </c>
      <c r="H703" s="46"/>
      <c r="I703" s="46"/>
      <c r="J703" s="46"/>
      <c r="K703" s="46"/>
      <c r="L703" s="46"/>
    </row>
    <row r="704" spans="1:12" s="24" customFormat="1" ht="19.95" customHeight="1" x14ac:dyDescent="0.25">
      <c r="A704" s="16"/>
      <c r="B704" s="28"/>
      <c r="C704" s="49"/>
      <c r="D704" s="49"/>
      <c r="E704" s="50"/>
      <c r="F704" s="49"/>
      <c r="G704" s="49"/>
      <c r="H704" s="49"/>
      <c r="I704" s="49"/>
      <c r="J704" s="49"/>
      <c r="K704" s="49"/>
      <c r="L704" s="49"/>
    </row>
    <row r="705" spans="1:12" s="24" customFormat="1" ht="19.95" customHeight="1" x14ac:dyDescent="0.25">
      <c r="A705" s="36" t="s">
        <v>11</v>
      </c>
      <c r="B705" s="2" t="s">
        <v>1</v>
      </c>
      <c r="C705" s="90" t="s">
        <v>2</v>
      </c>
      <c r="D705" s="90"/>
      <c r="E705" s="90"/>
      <c r="F705" s="90"/>
      <c r="G705" s="90"/>
      <c r="H705" s="95"/>
      <c r="I705" s="95"/>
      <c r="J705" s="95"/>
      <c r="K705" s="95"/>
    </row>
    <row r="706" spans="1:12" s="24" customFormat="1" ht="93.6" customHeight="1" x14ac:dyDescent="0.25">
      <c r="A706" s="1"/>
      <c r="B706" s="65" t="s">
        <v>165</v>
      </c>
      <c r="C706" s="7" t="s">
        <v>4</v>
      </c>
      <c r="D706" s="8" t="s">
        <v>5</v>
      </c>
      <c r="E706" s="9" t="s">
        <v>6</v>
      </c>
      <c r="F706" s="10" t="s">
        <v>7</v>
      </c>
      <c r="G706" s="11" t="s">
        <v>8</v>
      </c>
      <c r="H706" s="11"/>
      <c r="I706" s="11"/>
      <c r="J706" s="11"/>
      <c r="K706" s="11"/>
      <c r="L706" s="10"/>
    </row>
    <row r="707" spans="1:12" s="24" customFormat="1" ht="19.95" customHeight="1" x14ac:dyDescent="0.25">
      <c r="A707" s="13">
        <v>4</v>
      </c>
      <c r="B707" s="14" t="s">
        <v>306</v>
      </c>
      <c r="C707" s="7"/>
      <c r="D707" s="8"/>
      <c r="E707" s="9"/>
      <c r="F707" s="10"/>
      <c r="G707" s="11"/>
      <c r="H707" s="11"/>
      <c r="I707" s="11"/>
      <c r="J707" s="11"/>
      <c r="K707" s="11"/>
      <c r="L707" s="10"/>
    </row>
    <row r="708" spans="1:12" s="24" customFormat="1" ht="19.95" customHeight="1" x14ac:dyDescent="0.25">
      <c r="A708" s="16"/>
      <c r="B708" s="14" t="s">
        <v>307</v>
      </c>
      <c r="C708" s="7"/>
      <c r="D708" s="8"/>
      <c r="E708" s="9"/>
      <c r="F708" s="10"/>
      <c r="G708" s="11"/>
      <c r="H708" s="11"/>
      <c r="I708" s="11"/>
      <c r="J708" s="11"/>
      <c r="K708" s="11"/>
      <c r="L708" s="10"/>
    </row>
    <row r="709" spans="1:12" s="24" customFormat="1" ht="19.95" customHeight="1" x14ac:dyDescent="0.25">
      <c r="A709" s="17"/>
      <c r="B709" s="38" t="s">
        <v>308</v>
      </c>
      <c r="C709" s="40">
        <f>A707</f>
        <v>4</v>
      </c>
      <c r="D709" s="41"/>
      <c r="E709" s="42"/>
      <c r="F709" s="43"/>
      <c r="G709" s="23"/>
      <c r="H709" s="23"/>
      <c r="I709" s="23"/>
      <c r="J709" s="23"/>
      <c r="K709" s="23"/>
      <c r="L709" s="43"/>
    </row>
    <row r="710" spans="1:12" s="24" customFormat="1" ht="19.95" customHeight="1" x14ac:dyDescent="0.25">
      <c r="A710" s="17"/>
      <c r="B710" s="38" t="s">
        <v>309</v>
      </c>
      <c r="C710" s="40">
        <f>A707</f>
        <v>4</v>
      </c>
      <c r="D710" s="41"/>
      <c r="E710" s="42"/>
      <c r="F710" s="43"/>
      <c r="G710" s="23"/>
      <c r="H710" s="23"/>
      <c r="I710" s="23"/>
      <c r="J710" s="23"/>
      <c r="K710" s="23"/>
      <c r="L710" s="43"/>
    </row>
    <row r="711" spans="1:12" s="24" customFormat="1" ht="19.95" customHeight="1" x14ac:dyDescent="0.25">
      <c r="A711" s="17"/>
      <c r="B711" s="38" t="s">
        <v>212</v>
      </c>
      <c r="C711" s="40">
        <f>A707</f>
        <v>4</v>
      </c>
      <c r="D711" s="41"/>
      <c r="E711" s="42"/>
      <c r="F711" s="43"/>
      <c r="G711" s="23"/>
      <c r="H711" s="23"/>
      <c r="I711" s="23"/>
      <c r="J711" s="23"/>
      <c r="K711" s="23"/>
      <c r="L711" s="43"/>
    </row>
    <row r="712" spans="1:12" s="24" customFormat="1" ht="19.95" customHeight="1" x14ac:dyDescent="0.25">
      <c r="A712" s="16"/>
      <c r="B712" s="28"/>
      <c r="C712" s="16"/>
      <c r="D712" s="29"/>
      <c r="E712" s="30"/>
      <c r="F712" s="31"/>
      <c r="G712" s="32"/>
      <c r="H712" s="32"/>
      <c r="I712" s="32"/>
      <c r="J712" s="32"/>
      <c r="K712" s="32"/>
      <c r="L712" s="31"/>
    </row>
    <row r="713" spans="1:12" s="24" customFormat="1" ht="19.95" customHeight="1" x14ac:dyDescent="0.25">
      <c r="A713" s="13">
        <v>2</v>
      </c>
      <c r="B713" s="14" t="s">
        <v>314</v>
      </c>
      <c r="C713" s="7"/>
      <c r="D713" s="8"/>
      <c r="E713" s="9"/>
      <c r="F713" s="10"/>
      <c r="G713" s="11"/>
      <c r="H713" s="11"/>
      <c r="I713" s="11"/>
      <c r="J713" s="11"/>
      <c r="K713" s="11"/>
      <c r="L713" s="10"/>
    </row>
    <row r="714" spans="1:12" s="24" customFormat="1" ht="19.95" customHeight="1" x14ac:dyDescent="0.25">
      <c r="A714" s="16"/>
      <c r="B714" s="14"/>
      <c r="C714" s="7"/>
      <c r="D714" s="8"/>
      <c r="E714" s="9"/>
      <c r="F714" s="10"/>
      <c r="G714" s="11"/>
      <c r="H714" s="11"/>
      <c r="I714" s="11"/>
      <c r="J714" s="11"/>
      <c r="K714" s="11"/>
      <c r="L714" s="10"/>
    </row>
    <row r="715" spans="1:12" s="24" customFormat="1" ht="19.95" customHeight="1" x14ac:dyDescent="0.25">
      <c r="A715" s="17"/>
      <c r="B715" s="38" t="s">
        <v>166</v>
      </c>
      <c r="C715" s="40">
        <v>2</v>
      </c>
      <c r="D715" s="41"/>
      <c r="E715" s="42"/>
      <c r="F715" s="43"/>
      <c r="G715" s="23"/>
      <c r="H715" s="23"/>
      <c r="I715" s="23"/>
      <c r="J715" s="23"/>
      <c r="K715" s="23"/>
      <c r="L715" s="43"/>
    </row>
    <row r="716" spans="1:12" s="24" customFormat="1" ht="19.95" customHeight="1" x14ac:dyDescent="0.25">
      <c r="A716" s="16"/>
      <c r="B716" s="28"/>
      <c r="C716" s="16"/>
      <c r="D716" s="29"/>
      <c r="E716" s="30"/>
      <c r="F716" s="31"/>
      <c r="G716" s="32"/>
      <c r="H716" s="32"/>
      <c r="I716" s="32"/>
      <c r="J716" s="32"/>
      <c r="K716" s="32"/>
      <c r="L716" s="31"/>
    </row>
    <row r="717" spans="1:12" s="24" customFormat="1" ht="19.95" customHeight="1" x14ac:dyDescent="0.25">
      <c r="A717" s="13">
        <v>1</v>
      </c>
      <c r="B717" s="14" t="s">
        <v>312</v>
      </c>
      <c r="C717" s="7"/>
      <c r="D717" s="8"/>
      <c r="E717" s="9"/>
      <c r="F717" s="10"/>
      <c r="G717" s="11"/>
      <c r="H717" s="11"/>
      <c r="I717" s="11"/>
      <c r="J717" s="11"/>
      <c r="K717" s="11"/>
      <c r="L717" s="10"/>
    </row>
    <row r="718" spans="1:12" s="24" customFormat="1" ht="19.95" customHeight="1" x14ac:dyDescent="0.25">
      <c r="A718" s="16"/>
      <c r="B718" s="14"/>
      <c r="C718" s="7"/>
      <c r="D718" s="8"/>
      <c r="E718" s="9"/>
      <c r="F718" s="10"/>
      <c r="G718" s="11"/>
      <c r="H718" s="11"/>
      <c r="I718" s="11"/>
      <c r="J718" s="11"/>
      <c r="K718" s="11"/>
      <c r="L718" s="10"/>
    </row>
    <row r="719" spans="1:12" s="24" customFormat="1" ht="19.95" customHeight="1" x14ac:dyDescent="0.25">
      <c r="A719" s="17"/>
      <c r="B719" s="38" t="s">
        <v>166</v>
      </c>
      <c r="C719" s="40">
        <v>1</v>
      </c>
      <c r="D719" s="41"/>
      <c r="E719" s="42"/>
      <c r="F719" s="43"/>
      <c r="G719" s="23"/>
      <c r="H719" s="23"/>
      <c r="I719" s="23"/>
      <c r="J719" s="23"/>
      <c r="K719" s="23"/>
      <c r="L719" s="43"/>
    </row>
    <row r="720" spans="1:12" s="24" customFormat="1" ht="19.95" customHeight="1" x14ac:dyDescent="0.25">
      <c r="A720" s="16"/>
      <c r="B720" s="28"/>
      <c r="C720" s="16"/>
      <c r="D720" s="29"/>
      <c r="E720" s="30"/>
      <c r="F720" s="31"/>
      <c r="G720" s="32"/>
      <c r="H720" s="32"/>
      <c r="I720" s="32"/>
      <c r="J720" s="32"/>
      <c r="K720" s="32"/>
      <c r="L720" s="31"/>
    </row>
    <row r="721" spans="1:12" s="24" customFormat="1" ht="19.95" customHeight="1" x14ac:dyDescent="0.25">
      <c r="A721" s="13">
        <v>2</v>
      </c>
      <c r="B721" s="14" t="s">
        <v>315</v>
      </c>
      <c r="C721" s="7"/>
      <c r="D721" s="8"/>
      <c r="E721" s="9"/>
      <c r="F721" s="10"/>
      <c r="G721" s="11"/>
      <c r="H721" s="11"/>
      <c r="I721" s="11"/>
      <c r="J721" s="11"/>
      <c r="K721" s="11"/>
      <c r="L721" s="10"/>
    </row>
    <row r="722" spans="1:12" s="24" customFormat="1" ht="19.95" customHeight="1" x14ac:dyDescent="0.25">
      <c r="A722" s="16"/>
      <c r="B722" s="14"/>
      <c r="C722" s="7"/>
      <c r="D722" s="8"/>
      <c r="E722" s="9"/>
      <c r="F722" s="10"/>
      <c r="G722" s="11"/>
      <c r="H722" s="11"/>
      <c r="I722" s="11"/>
      <c r="J722" s="11"/>
      <c r="K722" s="11"/>
      <c r="L722" s="10"/>
    </row>
    <row r="723" spans="1:12" s="24" customFormat="1" ht="19.95" customHeight="1" x14ac:dyDescent="0.25">
      <c r="A723" s="17"/>
      <c r="B723" s="38" t="s">
        <v>166</v>
      </c>
      <c r="C723" s="40">
        <v>2</v>
      </c>
      <c r="D723" s="41"/>
      <c r="E723" s="42"/>
      <c r="F723" s="43"/>
      <c r="G723" s="23"/>
      <c r="H723" s="23"/>
      <c r="I723" s="23"/>
      <c r="J723" s="23"/>
      <c r="K723" s="23"/>
      <c r="L723" s="43"/>
    </row>
    <row r="724" spans="1:12" s="24" customFormat="1" ht="19.95" customHeight="1" x14ac:dyDescent="0.25">
      <c r="A724" s="17"/>
      <c r="B724" s="38"/>
      <c r="C724" s="40"/>
      <c r="D724" s="41"/>
      <c r="E724" s="42"/>
      <c r="F724" s="43"/>
      <c r="G724" s="23"/>
      <c r="H724" s="23"/>
      <c r="I724" s="23"/>
      <c r="J724" s="23"/>
      <c r="K724" s="23"/>
      <c r="L724" s="43"/>
    </row>
    <row r="725" spans="1:12" s="33" customFormat="1" ht="19.95" customHeight="1" x14ac:dyDescent="0.25">
      <c r="A725" s="13">
        <v>3</v>
      </c>
      <c r="B725" s="14" t="s">
        <v>313</v>
      </c>
      <c r="C725" s="7"/>
      <c r="D725" s="8"/>
      <c r="E725" s="9"/>
      <c r="F725" s="10"/>
      <c r="G725" s="11"/>
      <c r="H725" s="11"/>
      <c r="I725" s="11"/>
      <c r="J725" s="11"/>
      <c r="K725" s="11"/>
      <c r="L725" s="10"/>
    </row>
    <row r="726" spans="1:12" s="33" customFormat="1" ht="19.95" customHeight="1" x14ac:dyDescent="0.25">
      <c r="A726" s="16"/>
      <c r="B726" s="14"/>
      <c r="C726" s="7"/>
      <c r="D726" s="8"/>
      <c r="E726" s="9"/>
      <c r="F726" s="10"/>
      <c r="G726" s="11"/>
      <c r="H726" s="11"/>
      <c r="I726" s="11"/>
      <c r="J726" s="11"/>
      <c r="K726" s="11"/>
      <c r="L726" s="10"/>
    </row>
    <row r="727" spans="1:12" ht="19.95" customHeight="1" x14ac:dyDescent="0.35">
      <c r="B727" s="38" t="s">
        <v>166</v>
      </c>
      <c r="C727" s="40">
        <v>3</v>
      </c>
      <c r="D727" s="41"/>
      <c r="E727" s="42"/>
      <c r="F727" s="43"/>
      <c r="G727" s="23"/>
      <c r="H727" s="23"/>
      <c r="I727" s="23"/>
      <c r="J727" s="23"/>
      <c r="K727" s="23"/>
      <c r="L727" s="43"/>
    </row>
    <row r="728" spans="1:12" ht="19.95" customHeight="1" x14ac:dyDescent="0.35">
      <c r="A728" s="16"/>
      <c r="B728" s="28"/>
      <c r="C728" s="16"/>
      <c r="D728" s="29"/>
      <c r="E728" s="30"/>
      <c r="F728" s="31"/>
      <c r="G728" s="32"/>
      <c r="H728" s="32"/>
      <c r="I728" s="32"/>
      <c r="J728" s="32"/>
      <c r="K728" s="32"/>
      <c r="L728" s="31"/>
    </row>
    <row r="729" spans="1:12" s="24" customFormat="1" ht="19.95" customHeight="1" x14ac:dyDescent="0.25">
      <c r="A729" s="13">
        <v>2</v>
      </c>
      <c r="B729" s="14" t="s">
        <v>311</v>
      </c>
      <c r="C729" s="7"/>
      <c r="D729" s="8"/>
      <c r="E729" s="9"/>
      <c r="F729" s="10"/>
      <c r="G729" s="11"/>
      <c r="H729" s="11"/>
      <c r="I729" s="11"/>
      <c r="J729" s="11"/>
      <c r="K729" s="11"/>
      <c r="L729" s="10"/>
    </row>
    <row r="730" spans="1:12" s="24" customFormat="1" ht="19.95" customHeight="1" x14ac:dyDescent="0.25">
      <c r="A730" s="16"/>
      <c r="B730" s="14" t="s">
        <v>310</v>
      </c>
      <c r="C730" s="7"/>
      <c r="D730" s="8"/>
      <c r="E730" s="9"/>
      <c r="F730" s="10"/>
      <c r="G730" s="11"/>
      <c r="H730" s="11"/>
      <c r="I730" s="11"/>
      <c r="J730" s="11"/>
      <c r="K730" s="11"/>
      <c r="L730" s="10"/>
    </row>
    <row r="731" spans="1:12" s="24" customFormat="1" ht="19.95" customHeight="1" x14ac:dyDescent="0.25">
      <c r="A731" s="17"/>
      <c r="B731" s="38" t="s">
        <v>308</v>
      </c>
      <c r="C731" s="40">
        <v>2</v>
      </c>
      <c r="D731" s="41"/>
      <c r="E731" s="42"/>
      <c r="F731" s="43"/>
      <c r="G731" s="23"/>
      <c r="H731" s="23"/>
      <c r="I731" s="23"/>
      <c r="J731" s="23"/>
      <c r="K731" s="23"/>
      <c r="L731" s="43"/>
    </row>
    <row r="732" spans="1:12" s="24" customFormat="1" ht="19.95" customHeight="1" x14ac:dyDescent="0.25">
      <c r="A732" s="17"/>
      <c r="B732" s="38" t="s">
        <v>309</v>
      </c>
      <c r="C732" s="40">
        <v>2</v>
      </c>
      <c r="D732" s="41"/>
      <c r="E732" s="42"/>
      <c r="F732" s="43"/>
      <c r="G732" s="23"/>
      <c r="H732" s="23"/>
      <c r="I732" s="23"/>
      <c r="J732" s="23"/>
      <c r="K732" s="23"/>
      <c r="L732" s="43"/>
    </row>
    <row r="733" spans="1:12" s="24" customFormat="1" ht="19.95" customHeight="1" x14ac:dyDescent="0.25">
      <c r="A733" s="17"/>
      <c r="B733" s="38" t="s">
        <v>212</v>
      </c>
      <c r="C733" s="40">
        <v>2</v>
      </c>
      <c r="D733" s="41"/>
      <c r="E733" s="42"/>
      <c r="F733" s="43"/>
      <c r="G733" s="23"/>
      <c r="H733" s="23"/>
      <c r="I733" s="23"/>
      <c r="J733" s="23"/>
      <c r="K733" s="23"/>
      <c r="L733" s="43"/>
    </row>
    <row r="734" spans="1:12" s="24" customFormat="1" ht="19.95" customHeight="1" x14ac:dyDescent="0.25">
      <c r="A734" s="16"/>
      <c r="B734" s="28"/>
      <c r="C734" s="16"/>
      <c r="D734" s="29"/>
      <c r="E734" s="30"/>
      <c r="F734" s="31"/>
      <c r="G734" s="32"/>
      <c r="H734" s="32"/>
      <c r="I734" s="32"/>
      <c r="J734" s="32"/>
      <c r="K734" s="32"/>
      <c r="L734" s="31"/>
    </row>
    <row r="735" spans="1:12" s="24" customFormat="1" ht="19.95" customHeight="1" x14ac:dyDescent="0.25">
      <c r="A735" s="13">
        <v>1</v>
      </c>
      <c r="B735" s="14" t="s">
        <v>167</v>
      </c>
      <c r="C735" s="7"/>
      <c r="D735" s="8"/>
      <c r="E735" s="9"/>
      <c r="F735" s="10"/>
      <c r="G735" s="11"/>
      <c r="H735" s="11"/>
      <c r="I735" s="11"/>
      <c r="J735" s="11"/>
      <c r="K735" s="11"/>
      <c r="L735" s="10"/>
    </row>
    <row r="736" spans="1:12" s="24" customFormat="1" ht="19.95" customHeight="1" x14ac:dyDescent="0.25">
      <c r="A736" s="16"/>
      <c r="B736" s="14"/>
      <c r="C736" s="7"/>
      <c r="D736" s="8"/>
      <c r="E736" s="9"/>
      <c r="F736" s="10"/>
      <c r="G736" s="11"/>
      <c r="H736" s="11"/>
      <c r="I736" s="11"/>
      <c r="J736" s="11"/>
      <c r="K736" s="11"/>
      <c r="L736" s="10"/>
    </row>
    <row r="737" spans="1:12" s="24" customFormat="1" ht="19.95" customHeight="1" x14ac:dyDescent="0.25">
      <c r="A737" s="17"/>
      <c r="B737" s="38" t="s">
        <v>168</v>
      </c>
      <c r="C737" s="40">
        <v>2</v>
      </c>
      <c r="D737" s="41"/>
      <c r="E737" s="42"/>
      <c r="F737" s="43"/>
      <c r="G737" s="23"/>
      <c r="H737" s="23"/>
      <c r="I737" s="23"/>
      <c r="J737" s="23"/>
      <c r="K737" s="23"/>
      <c r="L737" s="43"/>
    </row>
    <row r="738" spans="1:12" s="24" customFormat="1" ht="19.95" customHeight="1" x14ac:dyDescent="0.25">
      <c r="A738" s="17"/>
      <c r="B738" s="38" t="s">
        <v>135</v>
      </c>
      <c r="C738" s="40">
        <v>2</v>
      </c>
      <c r="D738" s="41"/>
      <c r="E738" s="42"/>
      <c r="F738" s="43"/>
      <c r="G738" s="23"/>
      <c r="H738" s="23"/>
      <c r="I738" s="23"/>
      <c r="J738" s="23"/>
      <c r="K738" s="23"/>
      <c r="L738" s="43"/>
    </row>
    <row r="739" spans="1:12" s="24" customFormat="1" ht="19.95" customHeight="1" x14ac:dyDescent="0.25">
      <c r="A739" s="17"/>
      <c r="B739" s="38" t="s">
        <v>149</v>
      </c>
      <c r="C739" s="40">
        <v>2</v>
      </c>
      <c r="D739" s="41"/>
      <c r="E739" s="42"/>
      <c r="F739" s="43"/>
      <c r="G739" s="23"/>
      <c r="H739" s="23"/>
      <c r="I739" s="23"/>
      <c r="J739" s="23"/>
      <c r="K739" s="23"/>
      <c r="L739" s="43"/>
    </row>
    <row r="740" spans="1:12" s="24" customFormat="1" ht="19.95" customHeight="1" x14ac:dyDescent="0.25">
      <c r="A740" s="17"/>
      <c r="B740" s="38" t="s">
        <v>169</v>
      </c>
      <c r="C740" s="40"/>
      <c r="D740" s="41"/>
      <c r="E740" s="42"/>
      <c r="F740" s="43"/>
      <c r="G740" s="23">
        <v>1</v>
      </c>
      <c r="H740" s="23"/>
      <c r="I740" s="23"/>
      <c r="J740" s="23"/>
      <c r="K740" s="23"/>
      <c r="L740" s="43"/>
    </row>
    <row r="741" spans="1:12" s="24" customFormat="1" ht="19.95" customHeight="1" x14ac:dyDescent="0.25">
      <c r="A741" s="17"/>
      <c r="B741" s="38" t="s">
        <v>170</v>
      </c>
      <c r="C741" s="40"/>
      <c r="D741" s="41"/>
      <c r="E741" s="42"/>
      <c r="F741" s="43"/>
      <c r="G741" s="23">
        <v>1</v>
      </c>
      <c r="H741" s="23"/>
      <c r="I741" s="23"/>
      <c r="J741" s="23"/>
      <c r="K741" s="23"/>
      <c r="L741" s="43"/>
    </row>
    <row r="742" spans="1:12" s="33" customFormat="1" ht="19.95" customHeight="1" x14ac:dyDescent="0.25">
      <c r="A742" s="16"/>
      <c r="B742" s="28"/>
      <c r="C742" s="16"/>
      <c r="D742" s="29"/>
      <c r="E742" s="30"/>
      <c r="F742" s="31"/>
      <c r="G742" s="32"/>
      <c r="H742" s="32"/>
      <c r="I742" s="32"/>
      <c r="J742" s="32"/>
      <c r="K742" s="32"/>
      <c r="L742" s="31"/>
    </row>
    <row r="743" spans="1:12" s="33" customFormat="1" ht="19.95" customHeight="1" x14ac:dyDescent="0.25">
      <c r="A743" s="13">
        <v>1</v>
      </c>
      <c r="B743" s="14" t="s">
        <v>171</v>
      </c>
      <c r="C743" s="7"/>
      <c r="D743" s="8"/>
      <c r="E743" s="9"/>
      <c r="F743" s="10"/>
      <c r="G743" s="11"/>
      <c r="H743" s="11"/>
      <c r="I743" s="11"/>
      <c r="J743" s="11"/>
      <c r="K743" s="11"/>
      <c r="L743" s="10"/>
    </row>
    <row r="744" spans="1:12" ht="19.95" customHeight="1" x14ac:dyDescent="0.35">
      <c r="A744" s="16"/>
      <c r="B744" s="14" t="s">
        <v>172</v>
      </c>
      <c r="C744" s="7"/>
      <c r="D744" s="8"/>
      <c r="E744" s="9"/>
      <c r="F744" s="10"/>
      <c r="G744" s="11"/>
      <c r="H744" s="11"/>
      <c r="I744" s="11"/>
      <c r="J744" s="11"/>
      <c r="K744" s="11"/>
      <c r="L744" s="10"/>
    </row>
    <row r="745" spans="1:12" ht="19.95" customHeight="1" x14ac:dyDescent="0.35">
      <c r="B745" s="38" t="s">
        <v>157</v>
      </c>
      <c r="C745" s="40"/>
      <c r="D745" s="41"/>
      <c r="E745" s="42"/>
      <c r="F745" s="43"/>
      <c r="G745" s="23">
        <v>2</v>
      </c>
      <c r="H745" s="23"/>
      <c r="I745" s="23"/>
      <c r="J745" s="23"/>
      <c r="K745" s="23"/>
      <c r="L745" s="43"/>
    </row>
    <row r="746" spans="1:12" s="24" customFormat="1" ht="19.95" customHeight="1" x14ac:dyDescent="0.25">
      <c r="A746" s="17"/>
      <c r="B746" s="38" t="s">
        <v>158</v>
      </c>
      <c r="C746" s="40"/>
      <c r="D746" s="41"/>
      <c r="E746" s="42">
        <v>1</v>
      </c>
      <c r="F746" s="43"/>
      <c r="G746" s="23"/>
      <c r="H746" s="23"/>
      <c r="I746" s="23"/>
      <c r="J746" s="23"/>
      <c r="K746" s="23"/>
      <c r="L746" s="43"/>
    </row>
    <row r="747" spans="1:12" s="24" customFormat="1" ht="19.95" customHeight="1" x14ac:dyDescent="0.25">
      <c r="A747" s="17"/>
      <c r="B747" s="38"/>
      <c r="C747" s="40"/>
      <c r="D747" s="41"/>
      <c r="E747" s="42"/>
      <c r="F747" s="43"/>
      <c r="G747" s="23"/>
      <c r="H747" s="23"/>
      <c r="I747" s="23"/>
      <c r="J747" s="23"/>
      <c r="K747" s="23"/>
      <c r="L747" s="43"/>
    </row>
    <row r="748" spans="1:12" s="24" customFormat="1" ht="19.95" customHeight="1" x14ac:dyDescent="0.25">
      <c r="A748" s="13">
        <v>1</v>
      </c>
      <c r="B748" s="14" t="s">
        <v>332</v>
      </c>
      <c r="C748" s="7"/>
      <c r="D748" s="8"/>
      <c r="E748" s="9"/>
      <c r="F748" s="10"/>
      <c r="G748" s="11"/>
      <c r="H748" s="11"/>
      <c r="I748" s="11"/>
      <c r="J748" s="11"/>
      <c r="K748" s="11"/>
      <c r="L748" s="10"/>
    </row>
    <row r="749" spans="1:12" s="24" customFormat="1" ht="19.95" customHeight="1" x14ac:dyDescent="0.25">
      <c r="A749" s="16"/>
      <c r="B749" s="14"/>
      <c r="C749" s="7"/>
      <c r="D749" s="8"/>
      <c r="E749" s="9"/>
      <c r="F749" s="10"/>
      <c r="G749" s="11"/>
      <c r="H749" s="11"/>
      <c r="I749" s="11"/>
      <c r="J749" s="11"/>
      <c r="K749" s="11"/>
      <c r="L749" s="10"/>
    </row>
    <row r="750" spans="1:12" s="24" customFormat="1" ht="19.95" customHeight="1" x14ac:dyDescent="0.25">
      <c r="A750" s="17"/>
      <c r="B750" s="38" t="s">
        <v>333</v>
      </c>
      <c r="C750" s="40"/>
      <c r="D750" s="41"/>
      <c r="E750" s="42"/>
      <c r="F750" s="43"/>
      <c r="G750" s="23">
        <v>1</v>
      </c>
      <c r="H750" s="23"/>
      <c r="I750" s="23"/>
      <c r="J750" s="23"/>
      <c r="K750" s="23"/>
      <c r="L750" s="43"/>
    </row>
    <row r="751" spans="1:12" s="24" customFormat="1" ht="19.95" customHeight="1" x14ac:dyDescent="0.25">
      <c r="A751" s="16"/>
      <c r="B751" s="28"/>
      <c r="C751" s="16"/>
      <c r="D751" s="29"/>
      <c r="E751" s="30"/>
      <c r="F751" s="31"/>
      <c r="G751" s="32"/>
      <c r="H751" s="32"/>
      <c r="I751" s="32"/>
      <c r="J751" s="32"/>
      <c r="K751" s="32"/>
      <c r="L751" s="31"/>
    </row>
    <row r="752" spans="1:12" s="33" customFormat="1" ht="19.95" customHeight="1" x14ac:dyDescent="0.25">
      <c r="A752" s="44"/>
      <c r="B752" s="45" t="s">
        <v>10</v>
      </c>
      <c r="C752" s="46">
        <f>SUM(C709:C745)</f>
        <v>32</v>
      </c>
      <c r="D752" s="46">
        <f>SUM(D709:D745)</f>
        <v>0</v>
      </c>
      <c r="E752" s="46">
        <f>SUM(E709:E746)</f>
        <v>1</v>
      </c>
      <c r="F752" s="46">
        <f>SUM(F709:F745)</f>
        <v>0</v>
      </c>
      <c r="G752" s="46">
        <f>SUM(G709:G745)</f>
        <v>4</v>
      </c>
      <c r="H752" s="46"/>
      <c r="I752" s="46"/>
      <c r="J752" s="46"/>
      <c r="K752" s="46"/>
      <c r="L752" s="46"/>
    </row>
    <row r="753" spans="1:12" ht="19.95" customHeight="1" x14ac:dyDescent="0.35">
      <c r="A753" s="47"/>
      <c r="B753" s="48"/>
      <c r="C753" s="40"/>
      <c r="D753" s="40"/>
      <c r="E753" s="40"/>
      <c r="F753" s="40"/>
      <c r="G753" s="40"/>
      <c r="H753" s="40"/>
      <c r="I753" s="40"/>
      <c r="J753" s="40"/>
      <c r="K753" s="40"/>
      <c r="L753" s="40"/>
    </row>
    <row r="754" spans="1:12" ht="19.95" customHeight="1" x14ac:dyDescent="0.35">
      <c r="A754" s="36" t="s">
        <v>11</v>
      </c>
      <c r="B754" s="2" t="s">
        <v>1</v>
      </c>
      <c r="C754" s="90" t="s">
        <v>2</v>
      </c>
      <c r="D754" s="90"/>
      <c r="E754" s="90"/>
      <c r="F754" s="90"/>
      <c r="G754" s="90"/>
      <c r="H754" s="95"/>
      <c r="I754" s="95"/>
      <c r="J754" s="95"/>
      <c r="K754" s="95"/>
      <c r="L754" s="15"/>
    </row>
    <row r="755" spans="1:12" s="24" customFormat="1" ht="105" customHeight="1" x14ac:dyDescent="0.25">
      <c r="A755" s="1"/>
      <c r="B755" s="6" t="s">
        <v>173</v>
      </c>
      <c r="C755" s="7" t="s">
        <v>4</v>
      </c>
      <c r="D755" s="8" t="s">
        <v>5</v>
      </c>
      <c r="E755" s="9" t="s">
        <v>6</v>
      </c>
      <c r="F755" s="10" t="s">
        <v>7</v>
      </c>
      <c r="G755" s="11" t="s">
        <v>8</v>
      </c>
      <c r="H755" s="11"/>
      <c r="I755" s="11"/>
      <c r="J755" s="11"/>
      <c r="K755" s="11"/>
      <c r="L755" s="10"/>
    </row>
    <row r="756" spans="1:12" s="33" customFormat="1" ht="19.95" customHeight="1" x14ac:dyDescent="0.25">
      <c r="A756" s="13">
        <v>2</v>
      </c>
      <c r="B756" s="14" t="s">
        <v>32</v>
      </c>
      <c r="C756" s="7"/>
      <c r="D756" s="8"/>
      <c r="E756" s="9"/>
      <c r="F756" s="10"/>
      <c r="G756" s="11"/>
      <c r="H756" s="11"/>
      <c r="I756" s="11"/>
      <c r="J756" s="11"/>
      <c r="K756" s="11"/>
      <c r="L756" s="10"/>
    </row>
    <row r="757" spans="1:12" ht="19.95" customHeight="1" x14ac:dyDescent="0.35">
      <c r="A757" s="16"/>
      <c r="B757" s="14" t="s">
        <v>175</v>
      </c>
      <c r="C757" s="7"/>
      <c r="D757" s="8"/>
      <c r="E757" s="9"/>
      <c r="F757" s="10"/>
      <c r="G757" s="11"/>
      <c r="H757" s="11"/>
      <c r="I757" s="11"/>
      <c r="J757" s="11"/>
      <c r="K757" s="11"/>
      <c r="L757" s="10"/>
    </row>
    <row r="758" spans="1:12" ht="19.95" customHeight="1" x14ac:dyDescent="0.35">
      <c r="B758" s="38" t="s">
        <v>34</v>
      </c>
      <c r="C758" s="40"/>
      <c r="D758" s="41"/>
      <c r="E758" s="42">
        <f>A756*1</f>
        <v>2</v>
      </c>
      <c r="F758" s="43"/>
      <c r="G758" s="23"/>
      <c r="H758" s="23"/>
      <c r="I758" s="23"/>
      <c r="J758" s="23"/>
      <c r="K758" s="23"/>
      <c r="L758" s="43"/>
    </row>
    <row r="759" spans="1:12" s="24" customFormat="1" ht="19.95" customHeight="1" x14ac:dyDescent="0.25">
      <c r="A759" s="17"/>
      <c r="B759" s="38" t="s">
        <v>35</v>
      </c>
      <c r="C759" s="40"/>
      <c r="D759" s="41">
        <f>E758</f>
        <v>2</v>
      </c>
      <c r="E759" s="42"/>
      <c r="F759" s="43"/>
      <c r="G759" s="23"/>
      <c r="H759" s="23"/>
      <c r="I759" s="23"/>
      <c r="J759" s="23"/>
      <c r="K759" s="23"/>
      <c r="L759" s="43"/>
    </row>
    <row r="760" spans="1:12" s="24" customFormat="1" ht="19.95" customHeight="1" x14ac:dyDescent="0.25">
      <c r="A760" s="17"/>
      <c r="B760" s="38" t="s">
        <v>36</v>
      </c>
      <c r="C760" s="40">
        <f>E758</f>
        <v>2</v>
      </c>
      <c r="D760" s="41"/>
      <c r="E760" s="42"/>
      <c r="F760" s="43"/>
      <c r="G760" s="23"/>
      <c r="H760" s="23"/>
      <c r="I760" s="23"/>
      <c r="J760" s="23"/>
      <c r="K760" s="23"/>
      <c r="L760" s="43"/>
    </row>
    <row r="761" spans="1:12" s="33" customFormat="1" ht="19.95" customHeight="1" x14ac:dyDescent="0.25">
      <c r="A761" s="16"/>
      <c r="B761" s="28"/>
      <c r="C761" s="16"/>
      <c r="D761" s="29"/>
      <c r="E761" s="30"/>
      <c r="F761" s="31"/>
      <c r="G761" s="32"/>
      <c r="H761" s="32"/>
      <c r="I761" s="32"/>
      <c r="J761" s="32"/>
      <c r="K761" s="32"/>
      <c r="L761" s="31"/>
    </row>
    <row r="762" spans="1:12" ht="19.95" customHeight="1" x14ac:dyDescent="0.35">
      <c r="A762" s="13">
        <v>1</v>
      </c>
      <c r="B762" s="14" t="s">
        <v>176</v>
      </c>
      <c r="C762" s="7"/>
      <c r="D762" s="8"/>
      <c r="E762" s="9"/>
      <c r="F762" s="10"/>
      <c r="G762" s="11"/>
      <c r="H762" s="11"/>
      <c r="I762" s="11"/>
      <c r="J762" s="11"/>
      <c r="K762" s="11"/>
      <c r="L762" s="10"/>
    </row>
    <row r="763" spans="1:12" ht="19.95" customHeight="1" x14ac:dyDescent="0.35">
      <c r="A763" s="16"/>
      <c r="B763" s="14" t="s">
        <v>177</v>
      </c>
      <c r="C763" s="7"/>
      <c r="D763" s="8"/>
      <c r="E763" s="9"/>
      <c r="F763" s="10"/>
      <c r="G763" s="11"/>
      <c r="H763" s="11"/>
      <c r="I763" s="11"/>
      <c r="J763" s="11"/>
      <c r="K763" s="11"/>
      <c r="L763" s="10"/>
    </row>
    <row r="764" spans="1:12" ht="19.95" customHeight="1" x14ac:dyDescent="0.35">
      <c r="B764" s="38" t="s">
        <v>131</v>
      </c>
      <c r="C764" s="40"/>
      <c r="D764" s="41">
        <v>1</v>
      </c>
      <c r="E764" s="42"/>
      <c r="F764" s="43"/>
      <c r="G764" s="23"/>
      <c r="H764" s="23"/>
      <c r="I764" s="23"/>
      <c r="J764" s="23"/>
      <c r="K764" s="23"/>
      <c r="L764" s="43"/>
    </row>
    <row r="765" spans="1:12" ht="19.95" customHeight="1" x14ac:dyDescent="0.35">
      <c r="B765" s="38" t="s">
        <v>132</v>
      </c>
      <c r="C765" s="40">
        <v>1</v>
      </c>
      <c r="D765" s="41"/>
      <c r="E765" s="42"/>
      <c r="F765" s="43"/>
      <c r="G765" s="23">
        <v>1</v>
      </c>
      <c r="H765" s="23"/>
      <c r="I765" s="23"/>
      <c r="J765" s="23"/>
      <c r="K765" s="23"/>
      <c r="L765" s="43"/>
    </row>
    <row r="766" spans="1:12" ht="19.95" customHeight="1" x14ac:dyDescent="0.35">
      <c r="B766" s="38" t="s">
        <v>93</v>
      </c>
      <c r="C766" s="40">
        <v>1</v>
      </c>
      <c r="D766" s="41"/>
      <c r="E766" s="42"/>
      <c r="F766" s="43"/>
      <c r="G766" s="23"/>
      <c r="H766" s="23"/>
      <c r="I766" s="23"/>
      <c r="J766" s="23"/>
      <c r="K766" s="23"/>
      <c r="L766" s="43"/>
    </row>
    <row r="767" spans="1:12" s="24" customFormat="1" ht="19.95" customHeight="1" x14ac:dyDescent="0.25">
      <c r="A767" s="17"/>
      <c r="B767" s="38" t="s">
        <v>133</v>
      </c>
      <c r="C767" s="40">
        <v>1</v>
      </c>
      <c r="D767" s="41"/>
      <c r="E767" s="42"/>
      <c r="F767" s="43"/>
      <c r="G767" s="23"/>
      <c r="H767" s="23"/>
      <c r="I767" s="23"/>
      <c r="J767" s="23"/>
      <c r="K767" s="23"/>
      <c r="L767" s="43"/>
    </row>
    <row r="768" spans="1:12" s="33" customFormat="1" ht="19.95" customHeight="1" x14ac:dyDescent="0.25">
      <c r="A768" s="16"/>
      <c r="B768" s="28"/>
      <c r="C768" s="16"/>
      <c r="D768" s="29"/>
      <c r="E768" s="30"/>
      <c r="F768" s="31"/>
      <c r="G768" s="32"/>
      <c r="H768" s="32"/>
      <c r="I768" s="32"/>
      <c r="J768" s="32"/>
      <c r="K768" s="32"/>
      <c r="L768" s="31"/>
    </row>
    <row r="769" spans="1:12" s="24" customFormat="1" ht="30" customHeight="1" x14ac:dyDescent="0.25">
      <c r="A769" s="13">
        <v>1</v>
      </c>
      <c r="B769" s="14" t="s">
        <v>130</v>
      </c>
      <c r="C769" s="7"/>
      <c r="D769" s="8"/>
      <c r="E769" s="9"/>
      <c r="F769" s="10"/>
      <c r="G769" s="11"/>
      <c r="H769" s="11"/>
      <c r="I769" s="11"/>
      <c r="J769" s="11"/>
      <c r="K769" s="11"/>
      <c r="L769" s="10"/>
    </row>
    <row r="770" spans="1:12" customFormat="1" ht="22.8" customHeight="1" x14ac:dyDescent="0.25">
      <c r="A770" s="16"/>
      <c r="B770" s="14" t="s">
        <v>316</v>
      </c>
      <c r="C770" s="7"/>
      <c r="D770" s="8"/>
      <c r="E770" s="9"/>
      <c r="F770" s="10"/>
      <c r="G770" s="11"/>
      <c r="H770" s="11"/>
      <c r="I770" s="11"/>
      <c r="J770" s="11"/>
      <c r="K770" s="11"/>
      <c r="L770" s="10"/>
    </row>
    <row r="771" spans="1:12" customFormat="1" ht="19.95" customHeight="1" x14ac:dyDescent="0.25">
      <c r="A771" s="17"/>
      <c r="B771" s="38" t="s">
        <v>131</v>
      </c>
      <c r="C771" s="40"/>
      <c r="D771" s="41">
        <v>1</v>
      </c>
      <c r="E771" s="42"/>
      <c r="F771" s="43"/>
      <c r="G771" s="23"/>
      <c r="H771" s="23"/>
      <c r="I771" s="23"/>
      <c r="J771" s="23"/>
      <c r="K771" s="23"/>
      <c r="L771" s="43"/>
    </row>
    <row r="772" spans="1:12" s="24" customFormat="1" ht="19.95" customHeight="1" x14ac:dyDescent="0.25">
      <c r="A772" s="17"/>
      <c r="B772" s="38" t="s">
        <v>132</v>
      </c>
      <c r="C772" s="40">
        <v>1</v>
      </c>
      <c r="D772" s="41"/>
      <c r="E772" s="42"/>
      <c r="F772" s="43"/>
      <c r="G772" s="23">
        <v>1</v>
      </c>
      <c r="H772" s="23"/>
      <c r="I772" s="23"/>
      <c r="J772" s="23"/>
      <c r="K772" s="23"/>
      <c r="L772" s="43"/>
    </row>
    <row r="773" spans="1:12" s="12" customFormat="1" ht="19.95" customHeight="1" x14ac:dyDescent="0.3">
      <c r="A773" s="17"/>
      <c r="B773" s="38" t="s">
        <v>93</v>
      </c>
      <c r="C773" s="40">
        <v>1</v>
      </c>
      <c r="D773" s="41"/>
      <c r="E773" s="42"/>
      <c r="F773" s="43"/>
      <c r="G773" s="23"/>
      <c r="H773" s="23"/>
      <c r="I773" s="23"/>
      <c r="J773" s="23"/>
      <c r="K773" s="23"/>
      <c r="L773" s="43"/>
    </row>
    <row r="774" spans="1:12" ht="19.95" customHeight="1" x14ac:dyDescent="0.35">
      <c r="B774" s="38" t="s">
        <v>133</v>
      </c>
      <c r="C774" s="40">
        <v>1</v>
      </c>
      <c r="D774" s="41"/>
      <c r="E774" s="42"/>
      <c r="F774" s="43"/>
      <c r="G774" s="23"/>
      <c r="H774" s="23"/>
      <c r="I774" s="23"/>
      <c r="J774" s="23"/>
      <c r="K774" s="23"/>
      <c r="L774" s="43"/>
    </row>
    <row r="775" spans="1:12" ht="19.95" customHeight="1" x14ac:dyDescent="0.35">
      <c r="A775" s="16"/>
      <c r="B775" s="28"/>
      <c r="C775" s="16"/>
      <c r="D775" s="29"/>
      <c r="E775" s="30"/>
      <c r="F775" s="31"/>
      <c r="G775" s="32"/>
      <c r="H775" s="32"/>
      <c r="I775" s="32"/>
      <c r="J775" s="32"/>
      <c r="K775" s="32"/>
      <c r="L775" s="31"/>
    </row>
    <row r="776" spans="1:12" ht="19.95" customHeight="1" x14ac:dyDescent="0.35">
      <c r="A776" s="13">
        <v>1</v>
      </c>
      <c r="B776" s="14" t="s">
        <v>178</v>
      </c>
      <c r="C776" s="7"/>
      <c r="D776" s="8"/>
      <c r="E776" s="9"/>
      <c r="F776" s="10"/>
      <c r="G776" s="11"/>
      <c r="H776" s="11"/>
      <c r="I776" s="11"/>
      <c r="J776" s="11"/>
      <c r="K776" s="11"/>
      <c r="L776" s="10"/>
    </row>
    <row r="777" spans="1:12" s="24" customFormat="1" ht="19.95" customHeight="1" x14ac:dyDescent="0.25">
      <c r="A777" s="16"/>
      <c r="B777" s="14"/>
      <c r="C777" s="7"/>
      <c r="D777" s="8"/>
      <c r="E777" s="9"/>
      <c r="F777" s="10"/>
      <c r="G777" s="11"/>
      <c r="H777" s="11"/>
      <c r="I777" s="11"/>
      <c r="J777" s="11"/>
      <c r="K777" s="11"/>
      <c r="L777" s="10"/>
    </row>
    <row r="778" spans="1:12" s="24" customFormat="1" ht="19.95" customHeight="1" x14ac:dyDescent="0.25">
      <c r="A778" s="17"/>
      <c r="B778" s="38" t="s">
        <v>179</v>
      </c>
      <c r="C778" s="40">
        <v>1</v>
      </c>
      <c r="D778" s="41"/>
      <c r="E778" s="42"/>
      <c r="F778" s="43"/>
      <c r="G778" s="23"/>
      <c r="H778" s="23"/>
      <c r="I778" s="23"/>
      <c r="J778" s="23"/>
      <c r="K778" s="23"/>
      <c r="L778" s="43"/>
    </row>
    <row r="779" spans="1:12" s="33" customFormat="1" ht="19.95" customHeight="1" x14ac:dyDescent="0.25">
      <c r="A779" s="17"/>
      <c r="B779" s="38" t="s">
        <v>180</v>
      </c>
      <c r="C779" s="40">
        <v>1</v>
      </c>
      <c r="D779" s="41"/>
      <c r="E779" s="42"/>
      <c r="F779" s="43"/>
      <c r="G779" s="23"/>
      <c r="H779" s="23"/>
      <c r="I779" s="23"/>
      <c r="J779" s="23"/>
      <c r="K779" s="23"/>
      <c r="L779" s="43"/>
    </row>
    <row r="780" spans="1:12" ht="19.95" customHeight="1" x14ac:dyDescent="0.35">
      <c r="B780" s="38" t="s">
        <v>181</v>
      </c>
      <c r="C780" s="40">
        <v>1</v>
      </c>
      <c r="D780" s="41"/>
      <c r="E780" s="42"/>
      <c r="F780" s="43"/>
      <c r="G780" s="23"/>
      <c r="H780" s="23"/>
      <c r="I780" s="23"/>
      <c r="J780" s="23"/>
      <c r="K780" s="23"/>
      <c r="L780" s="43"/>
    </row>
    <row r="781" spans="1:12" ht="19.95" customHeight="1" x14ac:dyDescent="0.35">
      <c r="B781" s="38" t="s">
        <v>182</v>
      </c>
      <c r="C781" s="40">
        <v>1</v>
      </c>
      <c r="D781" s="41"/>
      <c r="E781" s="42"/>
      <c r="F781" s="43"/>
      <c r="G781" s="23"/>
      <c r="H781" s="23"/>
      <c r="I781" s="23"/>
      <c r="J781" s="23"/>
      <c r="K781" s="23"/>
      <c r="L781" s="43"/>
    </row>
    <row r="782" spans="1:12" s="24" customFormat="1" ht="19.95" customHeight="1" x14ac:dyDescent="0.25">
      <c r="A782" s="16"/>
      <c r="B782" s="28"/>
      <c r="C782" s="16"/>
      <c r="D782" s="29"/>
      <c r="E782" s="30"/>
      <c r="F782" s="31"/>
      <c r="G782" s="32"/>
      <c r="H782" s="32"/>
      <c r="I782" s="32"/>
      <c r="J782" s="32"/>
      <c r="K782" s="32"/>
      <c r="L782" s="31"/>
    </row>
    <row r="783" spans="1:12" s="24" customFormat="1" ht="19.95" customHeight="1" x14ac:dyDescent="0.25">
      <c r="A783" s="13">
        <v>2</v>
      </c>
      <c r="B783" s="14" t="s">
        <v>183</v>
      </c>
      <c r="C783" s="7"/>
      <c r="D783" s="8"/>
      <c r="E783" s="9"/>
      <c r="F783" s="10"/>
      <c r="G783" s="11"/>
      <c r="H783" s="11"/>
      <c r="I783" s="11"/>
      <c r="J783" s="11"/>
      <c r="K783" s="11"/>
      <c r="L783" s="10"/>
    </row>
    <row r="784" spans="1:12" s="24" customFormat="1" ht="19.95" customHeight="1" x14ac:dyDescent="0.25">
      <c r="A784" s="16"/>
      <c r="B784" s="14" t="s">
        <v>319</v>
      </c>
      <c r="C784" s="7"/>
      <c r="D784" s="8"/>
      <c r="E784" s="9"/>
      <c r="F784" s="10"/>
      <c r="G784" s="11"/>
      <c r="H784" s="11"/>
      <c r="I784" s="11"/>
      <c r="J784" s="11"/>
      <c r="K784" s="11"/>
      <c r="L784" s="10"/>
    </row>
    <row r="785" spans="1:12" ht="19.95" customHeight="1" x14ac:dyDescent="0.35">
      <c r="B785" s="38" t="s">
        <v>15</v>
      </c>
      <c r="C785" s="19"/>
      <c r="D785" s="20"/>
      <c r="E785" s="21">
        <v>4</v>
      </c>
      <c r="F785" s="22"/>
      <c r="G785" s="23"/>
      <c r="H785" s="23"/>
      <c r="I785" s="23"/>
      <c r="J785" s="23"/>
      <c r="K785" s="23"/>
      <c r="L785" s="22"/>
    </row>
    <row r="786" spans="1:12" ht="19.95" customHeight="1" x14ac:dyDescent="0.35">
      <c r="B786" s="39" t="s">
        <v>277</v>
      </c>
      <c r="C786" s="19"/>
      <c r="D786" s="20"/>
      <c r="E786" s="21">
        <v>4</v>
      </c>
      <c r="F786" s="22"/>
      <c r="G786" s="23"/>
      <c r="H786" s="23"/>
      <c r="I786" s="23"/>
      <c r="J786" s="23"/>
      <c r="K786" s="23"/>
      <c r="L786" s="22"/>
    </row>
    <row r="787" spans="1:12" ht="19.95" customHeight="1" x14ac:dyDescent="0.35">
      <c r="B787" s="38" t="s">
        <v>318</v>
      </c>
      <c r="C787" s="19">
        <v>2</v>
      </c>
      <c r="D787" s="20"/>
      <c r="E787" s="21"/>
      <c r="F787" s="22"/>
      <c r="G787" s="23"/>
      <c r="H787" s="23"/>
      <c r="I787" s="23"/>
      <c r="J787" s="23"/>
      <c r="K787" s="23"/>
      <c r="L787" s="22"/>
    </row>
    <row r="788" spans="1:12" ht="19.95" customHeight="1" x14ac:dyDescent="0.35">
      <c r="B788" s="38" t="s">
        <v>278</v>
      </c>
      <c r="C788" s="19">
        <v>2</v>
      </c>
      <c r="D788" s="20"/>
      <c r="E788" s="21"/>
      <c r="F788" s="22"/>
      <c r="G788" s="23"/>
      <c r="H788" s="23"/>
      <c r="I788" s="23"/>
      <c r="J788" s="23"/>
      <c r="K788" s="23"/>
      <c r="L788" s="22"/>
    </row>
    <row r="789" spans="1:12" s="24" customFormat="1" ht="19.95" customHeight="1" x14ac:dyDescent="0.25">
      <c r="A789" s="17"/>
      <c r="B789" s="38" t="s">
        <v>125</v>
      </c>
      <c r="C789" s="19">
        <v>2</v>
      </c>
      <c r="D789" s="20"/>
      <c r="E789" s="21"/>
      <c r="F789" s="22"/>
      <c r="G789" s="23"/>
      <c r="H789" s="23"/>
      <c r="I789" s="23"/>
      <c r="J789" s="23"/>
      <c r="K789" s="23"/>
      <c r="L789" s="22"/>
    </row>
    <row r="790" spans="1:12" s="24" customFormat="1" ht="19.95" customHeight="1" x14ac:dyDescent="0.25">
      <c r="A790" s="17"/>
      <c r="B790" s="39" t="s">
        <v>110</v>
      </c>
      <c r="C790" s="19"/>
      <c r="D790" s="20"/>
      <c r="E790" s="21">
        <v>2</v>
      </c>
      <c r="F790" s="22">
        <v>2</v>
      </c>
      <c r="G790" s="23"/>
      <c r="H790" s="23"/>
      <c r="I790" s="23"/>
      <c r="J790" s="23"/>
      <c r="K790" s="23"/>
      <c r="L790" s="22"/>
    </row>
    <row r="791" spans="1:12" s="24" customFormat="1" ht="19.95" customHeight="1" x14ac:dyDescent="0.25">
      <c r="A791" s="17"/>
      <c r="B791" s="39" t="s">
        <v>24</v>
      </c>
      <c r="C791" s="19"/>
      <c r="D791" s="20"/>
      <c r="E791" s="21">
        <v>2</v>
      </c>
      <c r="F791" s="22"/>
      <c r="G791" s="23"/>
      <c r="H791" s="23"/>
      <c r="I791" s="23"/>
      <c r="J791" s="23"/>
      <c r="K791" s="23"/>
      <c r="L791" s="22"/>
    </row>
    <row r="792" spans="1:12" s="24" customFormat="1" ht="19.95" customHeight="1" x14ac:dyDescent="0.25">
      <c r="A792" s="17"/>
      <c r="B792" s="38" t="s">
        <v>18</v>
      </c>
      <c r="C792" s="19"/>
      <c r="D792" s="20"/>
      <c r="E792" s="21">
        <v>2</v>
      </c>
      <c r="F792" s="22"/>
      <c r="G792" s="23"/>
      <c r="H792" s="23"/>
      <c r="I792" s="23"/>
      <c r="J792" s="23"/>
      <c r="K792" s="23"/>
      <c r="L792" s="22"/>
    </row>
    <row r="793" spans="1:12" s="33" customFormat="1" ht="19.95" customHeight="1" x14ac:dyDescent="0.25">
      <c r="A793" s="17"/>
      <c r="B793" s="38" t="s">
        <v>111</v>
      </c>
      <c r="C793" s="19"/>
      <c r="D793" s="20"/>
      <c r="E793" s="21">
        <v>2</v>
      </c>
      <c r="F793" s="22"/>
      <c r="G793" s="23"/>
      <c r="H793" s="23"/>
      <c r="I793" s="23"/>
      <c r="J793" s="23"/>
      <c r="K793" s="23"/>
      <c r="L793" s="22"/>
    </row>
    <row r="794" spans="1:12" ht="19.95" customHeight="1" x14ac:dyDescent="0.35">
      <c r="B794" s="38" t="s">
        <v>126</v>
      </c>
      <c r="C794" s="19"/>
      <c r="D794" s="20">
        <v>2</v>
      </c>
      <c r="E794" s="21"/>
      <c r="F794" s="64">
        <v>2</v>
      </c>
      <c r="G794" s="23"/>
      <c r="H794" s="23"/>
      <c r="I794" s="23"/>
      <c r="J794" s="23"/>
      <c r="K794" s="23"/>
      <c r="L794" s="64"/>
    </row>
    <row r="795" spans="1:12" ht="19.95" customHeight="1" x14ac:dyDescent="0.35">
      <c r="B795" s="38" t="s">
        <v>113</v>
      </c>
      <c r="C795" s="19">
        <v>2</v>
      </c>
      <c r="D795" s="20"/>
      <c r="E795" s="21"/>
      <c r="F795" s="64"/>
      <c r="G795" s="23"/>
      <c r="H795" s="23"/>
      <c r="I795" s="23"/>
      <c r="J795" s="23"/>
      <c r="K795" s="23"/>
      <c r="L795" s="64"/>
    </row>
    <row r="796" spans="1:12" s="24" customFormat="1" ht="19.95" customHeight="1" x14ac:dyDescent="0.25">
      <c r="A796" s="17"/>
      <c r="B796" s="38" t="s">
        <v>127</v>
      </c>
      <c r="C796" s="19">
        <v>2</v>
      </c>
      <c r="D796" s="20"/>
      <c r="E796" s="21"/>
      <c r="F796" s="64"/>
      <c r="G796" s="23"/>
      <c r="H796" s="23"/>
      <c r="I796" s="23"/>
      <c r="J796" s="23"/>
      <c r="K796" s="23"/>
      <c r="L796" s="64"/>
    </row>
    <row r="797" spans="1:12" s="33" customFormat="1" ht="19.95" customHeight="1" x14ac:dyDescent="0.25">
      <c r="A797" s="17"/>
      <c r="B797" s="38" t="s">
        <v>128</v>
      </c>
      <c r="C797" s="19">
        <v>2</v>
      </c>
      <c r="D797" s="20"/>
      <c r="E797" s="21"/>
      <c r="F797" s="64"/>
      <c r="G797" s="23"/>
      <c r="H797" s="23"/>
      <c r="I797" s="23"/>
      <c r="J797" s="23"/>
      <c r="K797" s="23"/>
      <c r="L797" s="64"/>
    </row>
    <row r="798" spans="1:12" ht="19.95" customHeight="1" x14ac:dyDescent="0.35">
      <c r="B798" s="38" t="s">
        <v>116</v>
      </c>
      <c r="C798" s="19"/>
      <c r="D798" s="20">
        <v>2</v>
      </c>
      <c r="E798" s="21"/>
      <c r="F798" s="64">
        <v>2</v>
      </c>
      <c r="G798" s="23"/>
      <c r="H798" s="23"/>
      <c r="I798" s="23"/>
      <c r="J798" s="23"/>
      <c r="K798" s="23"/>
      <c r="L798" s="64"/>
    </row>
    <row r="799" spans="1:12" ht="19.95" customHeight="1" x14ac:dyDescent="0.35">
      <c r="B799" s="38" t="s">
        <v>117</v>
      </c>
      <c r="C799" s="19">
        <v>2</v>
      </c>
      <c r="D799" s="20"/>
      <c r="E799" s="21"/>
      <c r="F799" s="22"/>
      <c r="G799" s="23"/>
      <c r="H799" s="23"/>
      <c r="I799" s="23"/>
      <c r="J799" s="23"/>
      <c r="K799" s="23"/>
      <c r="L799" s="22"/>
    </row>
    <row r="800" spans="1:12" s="24" customFormat="1" ht="19.95" customHeight="1" x14ac:dyDescent="0.25">
      <c r="A800" s="17"/>
      <c r="B800" s="38" t="s">
        <v>129</v>
      </c>
      <c r="C800" s="19">
        <v>2</v>
      </c>
      <c r="D800" s="20"/>
      <c r="E800" s="21"/>
      <c r="F800" s="22"/>
      <c r="G800" s="23"/>
      <c r="H800" s="23"/>
      <c r="I800" s="23"/>
      <c r="J800" s="23"/>
      <c r="K800" s="23"/>
      <c r="L800" s="22"/>
    </row>
    <row r="801" spans="1:12" s="24" customFormat="1" ht="19.95" customHeight="1" x14ac:dyDescent="0.25">
      <c r="A801" s="17"/>
      <c r="B801" s="38" t="s">
        <v>119</v>
      </c>
      <c r="C801" s="19">
        <v>1</v>
      </c>
      <c r="D801" s="20"/>
      <c r="E801" s="21"/>
      <c r="F801" s="22"/>
      <c r="G801" s="23"/>
      <c r="H801" s="23"/>
      <c r="I801" s="23"/>
      <c r="J801" s="23"/>
      <c r="K801" s="23"/>
      <c r="L801" s="22"/>
    </row>
    <row r="802" spans="1:12" ht="19.95" customHeight="1" x14ac:dyDescent="0.35">
      <c r="A802" s="16"/>
      <c r="B802" s="38" t="s">
        <v>184</v>
      </c>
      <c r="C802" s="16"/>
      <c r="D802" s="29"/>
      <c r="E802" s="30"/>
      <c r="F802" s="31"/>
      <c r="G802" s="23">
        <v>2</v>
      </c>
      <c r="H802" s="23"/>
      <c r="I802" s="23"/>
      <c r="J802" s="23"/>
      <c r="K802" s="23"/>
      <c r="L802" s="31"/>
    </row>
    <row r="803" spans="1:12" ht="19.95" customHeight="1" x14ac:dyDescent="0.35">
      <c r="A803" s="16"/>
      <c r="B803" s="28"/>
      <c r="C803" s="16"/>
      <c r="D803" s="29"/>
      <c r="E803" s="30"/>
      <c r="F803" s="31"/>
      <c r="G803" s="32"/>
      <c r="H803" s="32"/>
      <c r="I803" s="32"/>
      <c r="J803" s="32"/>
      <c r="K803" s="32"/>
      <c r="L803" s="31"/>
    </row>
    <row r="804" spans="1:12" s="24" customFormat="1" ht="19.95" customHeight="1" x14ac:dyDescent="0.25">
      <c r="A804" s="13">
        <v>1</v>
      </c>
      <c r="B804" s="14" t="s">
        <v>25</v>
      </c>
      <c r="C804" s="7"/>
      <c r="D804" s="8"/>
      <c r="E804" s="9"/>
      <c r="F804" s="10"/>
      <c r="G804" s="11"/>
      <c r="H804" s="11"/>
      <c r="I804" s="11"/>
      <c r="J804" s="11"/>
      <c r="K804" s="11"/>
      <c r="L804" s="10"/>
    </row>
    <row r="805" spans="1:12" s="33" customFormat="1" ht="31.8" customHeight="1" x14ac:dyDescent="0.25">
      <c r="A805" s="16"/>
      <c r="B805" s="14" t="s">
        <v>185</v>
      </c>
      <c r="C805" s="7"/>
      <c r="D805" s="8"/>
      <c r="E805" s="9"/>
      <c r="F805" s="10"/>
      <c r="G805" s="11"/>
      <c r="H805" s="11"/>
      <c r="I805" s="11"/>
      <c r="J805" s="11"/>
      <c r="K805" s="11"/>
      <c r="L805" s="10"/>
    </row>
    <row r="806" spans="1:12" s="24" customFormat="1" ht="24.6" customHeight="1" x14ac:dyDescent="0.25">
      <c r="A806" s="17"/>
      <c r="B806" s="38" t="s">
        <v>26</v>
      </c>
      <c r="C806" s="40">
        <v>1</v>
      </c>
      <c r="D806" s="41"/>
      <c r="E806" s="42"/>
      <c r="F806" s="43"/>
      <c r="G806" s="23"/>
      <c r="H806" s="23"/>
      <c r="I806" s="23"/>
      <c r="J806" s="23"/>
      <c r="K806" s="23"/>
      <c r="L806" s="43"/>
    </row>
    <row r="807" spans="1:12" customFormat="1" ht="19.95" customHeight="1" x14ac:dyDescent="0.25">
      <c r="A807" s="17"/>
      <c r="B807" s="38" t="s">
        <v>27</v>
      </c>
      <c r="C807" s="40">
        <v>1</v>
      </c>
      <c r="D807" s="41"/>
      <c r="E807" s="42"/>
      <c r="F807" s="43"/>
      <c r="G807" s="23"/>
      <c r="H807" s="23"/>
      <c r="I807" s="23"/>
      <c r="J807" s="23"/>
      <c r="K807" s="23"/>
      <c r="L807" s="43"/>
    </row>
    <row r="808" spans="1:12" s="24" customFormat="1" ht="19.95" customHeight="1" x14ac:dyDescent="0.25">
      <c r="A808" s="16"/>
      <c r="B808" s="28"/>
      <c r="C808" s="16"/>
      <c r="D808" s="29"/>
      <c r="E808" s="30"/>
      <c r="F808" s="31"/>
      <c r="G808" s="32"/>
      <c r="H808" s="32"/>
      <c r="I808" s="32"/>
      <c r="J808" s="32"/>
      <c r="K808" s="32"/>
      <c r="L808" s="31"/>
    </row>
    <row r="809" spans="1:12" s="24" customFormat="1" ht="19.95" customHeight="1" x14ac:dyDescent="0.25">
      <c r="A809" s="13">
        <v>3</v>
      </c>
      <c r="B809" s="14" t="s">
        <v>186</v>
      </c>
      <c r="C809" s="7"/>
      <c r="D809" s="8"/>
      <c r="E809" s="9"/>
      <c r="F809" s="10"/>
      <c r="G809" s="11"/>
      <c r="H809" s="11"/>
      <c r="I809" s="11"/>
      <c r="J809" s="11"/>
      <c r="K809" s="11"/>
      <c r="L809" s="10"/>
    </row>
    <row r="810" spans="1:12" s="24" customFormat="1" ht="19.95" customHeight="1" x14ac:dyDescent="0.25">
      <c r="A810" s="16"/>
      <c r="B810" s="14" t="s">
        <v>187</v>
      </c>
      <c r="C810" s="7"/>
      <c r="D810" s="8"/>
      <c r="E810" s="9"/>
      <c r="F810" s="10"/>
      <c r="G810" s="11"/>
      <c r="H810" s="11"/>
      <c r="I810" s="11"/>
      <c r="J810" s="11"/>
      <c r="K810" s="11"/>
      <c r="L810" s="10"/>
    </row>
    <row r="811" spans="1:12" s="33" customFormat="1" ht="19.95" customHeight="1" x14ac:dyDescent="0.25">
      <c r="A811" s="17"/>
      <c r="B811" s="38" t="s">
        <v>188</v>
      </c>
      <c r="C811" s="40">
        <f>A809</f>
        <v>3</v>
      </c>
      <c r="D811" s="41"/>
      <c r="E811" s="42"/>
      <c r="F811" s="43"/>
      <c r="G811" s="23"/>
      <c r="H811" s="23"/>
      <c r="I811" s="23"/>
      <c r="J811" s="23"/>
      <c r="K811" s="23"/>
      <c r="L811" s="43"/>
    </row>
    <row r="812" spans="1:12" ht="19.95" customHeight="1" x14ac:dyDescent="0.35">
      <c r="B812" s="38" t="s">
        <v>189</v>
      </c>
      <c r="C812" s="40">
        <f>A809</f>
        <v>3</v>
      </c>
      <c r="D812" s="41"/>
      <c r="E812" s="42"/>
      <c r="F812" s="43"/>
      <c r="G812" s="23"/>
      <c r="H812" s="23"/>
      <c r="I812" s="23"/>
      <c r="J812" s="23"/>
      <c r="K812" s="23"/>
      <c r="L812" s="43"/>
    </row>
    <row r="813" spans="1:12" ht="19.95" customHeight="1" x14ac:dyDescent="0.35">
      <c r="A813" s="16"/>
      <c r="B813" s="28"/>
      <c r="C813" s="16"/>
      <c r="D813" s="29"/>
      <c r="E813" s="30"/>
      <c r="F813" s="31"/>
      <c r="G813" s="32"/>
      <c r="H813" s="32"/>
      <c r="I813" s="32"/>
      <c r="J813" s="32"/>
      <c r="K813" s="32"/>
      <c r="L813" s="31"/>
    </row>
    <row r="814" spans="1:12" s="24" customFormat="1" ht="19.95" customHeight="1" x14ac:dyDescent="0.25">
      <c r="A814" s="13">
        <v>1</v>
      </c>
      <c r="B814" s="14" t="s">
        <v>190</v>
      </c>
      <c r="C814" s="7"/>
      <c r="D814" s="8"/>
      <c r="E814" s="9"/>
      <c r="F814" s="10"/>
      <c r="G814" s="11"/>
      <c r="H814" s="11"/>
      <c r="I814" s="11"/>
      <c r="J814" s="11"/>
      <c r="K814" s="11"/>
      <c r="L814" s="10"/>
    </row>
    <row r="815" spans="1:12" s="33" customFormat="1" ht="19.95" customHeight="1" x14ac:dyDescent="0.25">
      <c r="A815" s="16"/>
      <c r="B815" s="14" t="s">
        <v>185</v>
      </c>
      <c r="C815" s="7"/>
      <c r="D815" s="8"/>
      <c r="E815" s="9"/>
      <c r="F815" s="10"/>
      <c r="G815" s="11"/>
      <c r="H815" s="11"/>
      <c r="I815" s="11"/>
      <c r="J815" s="11"/>
      <c r="K815" s="11"/>
      <c r="L815" s="10"/>
    </row>
    <row r="816" spans="1:12" ht="19.95" customHeight="1" x14ac:dyDescent="0.35">
      <c r="B816" s="38" t="s">
        <v>26</v>
      </c>
      <c r="C816" s="40">
        <v>1</v>
      </c>
      <c r="D816" s="41"/>
      <c r="E816" s="42"/>
      <c r="F816" s="43"/>
      <c r="G816" s="23"/>
      <c r="H816" s="23"/>
      <c r="I816" s="23"/>
      <c r="J816" s="23"/>
      <c r="K816" s="23"/>
      <c r="L816" s="43"/>
    </row>
    <row r="817" spans="1:12" ht="19.95" customHeight="1" x14ac:dyDescent="0.35">
      <c r="B817" s="38" t="s">
        <v>27</v>
      </c>
      <c r="C817" s="40">
        <v>1</v>
      </c>
      <c r="D817" s="41"/>
      <c r="E817" s="42"/>
      <c r="F817" s="43"/>
      <c r="G817" s="23"/>
      <c r="H817" s="23"/>
      <c r="I817" s="23"/>
      <c r="J817" s="23"/>
      <c r="K817" s="23"/>
      <c r="L817" s="43"/>
    </row>
    <row r="818" spans="1:12" ht="19.95" customHeight="1" x14ac:dyDescent="0.35">
      <c r="C818" s="40"/>
      <c r="D818" s="41"/>
      <c r="E818" s="42"/>
      <c r="F818" s="43"/>
      <c r="G818" s="23"/>
      <c r="H818" s="23"/>
      <c r="I818" s="23"/>
      <c r="J818" s="23"/>
      <c r="K818" s="23"/>
      <c r="L818" s="43"/>
    </row>
    <row r="819" spans="1:12" s="24" customFormat="1" ht="19.95" customHeight="1" x14ac:dyDescent="0.25">
      <c r="A819" s="13">
        <v>4</v>
      </c>
      <c r="B819" s="14" t="s">
        <v>317</v>
      </c>
      <c r="C819" s="7"/>
      <c r="D819" s="8"/>
      <c r="E819" s="9"/>
      <c r="F819" s="10"/>
      <c r="G819" s="11"/>
      <c r="H819" s="11"/>
      <c r="I819" s="11"/>
      <c r="J819" s="11"/>
      <c r="K819" s="11"/>
      <c r="L819" s="10"/>
    </row>
    <row r="820" spans="1:12" s="24" customFormat="1" ht="19.95" customHeight="1" x14ac:dyDescent="0.25">
      <c r="A820" s="16"/>
      <c r="B820" s="14"/>
      <c r="C820" s="7"/>
      <c r="D820" s="8"/>
      <c r="E820" s="9"/>
      <c r="F820" s="10"/>
      <c r="G820" s="11"/>
      <c r="H820" s="11"/>
      <c r="I820" s="11"/>
      <c r="J820" s="11"/>
      <c r="K820" s="11"/>
      <c r="L820" s="10"/>
    </row>
    <row r="821" spans="1:12" s="24" customFormat="1" ht="19.95" customHeight="1" x14ac:dyDescent="0.25">
      <c r="A821" s="17"/>
      <c r="B821" s="38" t="s">
        <v>41</v>
      </c>
      <c r="C821" s="40">
        <f>A819</f>
        <v>4</v>
      </c>
      <c r="D821" s="41"/>
      <c r="E821" s="42"/>
      <c r="F821" s="43"/>
      <c r="G821" s="23"/>
      <c r="H821" s="23"/>
      <c r="I821" s="23"/>
      <c r="J821" s="23"/>
      <c r="K821" s="23"/>
      <c r="L821" s="43"/>
    </row>
    <row r="822" spans="1:12" s="33" customFormat="1" ht="19.95" customHeight="1" x14ac:dyDescent="0.25">
      <c r="A822" s="17"/>
      <c r="B822" s="38"/>
      <c r="C822" s="40"/>
      <c r="D822" s="41"/>
      <c r="E822" s="42"/>
      <c r="F822" s="43"/>
      <c r="G822" s="23"/>
      <c r="H822" s="23"/>
      <c r="I822" s="23"/>
      <c r="J822" s="23"/>
      <c r="K822" s="23"/>
      <c r="L822" s="43"/>
    </row>
    <row r="823" spans="1:12" ht="19.95" customHeight="1" x14ac:dyDescent="0.35">
      <c r="A823" s="44"/>
      <c r="B823" s="45" t="s">
        <v>10</v>
      </c>
      <c r="C823" s="46">
        <f>SUM(C756:C821)</f>
        <v>43</v>
      </c>
      <c r="D823" s="46">
        <f>SUM(D756:D817)</f>
        <v>8</v>
      </c>
      <c r="E823" s="46">
        <f>SUM(E756:E817)</f>
        <v>18</v>
      </c>
      <c r="F823" s="46">
        <f>SUM(F756:F817)</f>
        <v>6</v>
      </c>
      <c r="G823" s="46">
        <f>SUM(G756:G817)</f>
        <v>4</v>
      </c>
      <c r="H823" s="46"/>
      <c r="I823" s="46"/>
      <c r="J823" s="46"/>
      <c r="K823" s="46"/>
      <c r="L823" s="46"/>
    </row>
    <row r="824" spans="1:12" ht="19.95" customHeight="1" x14ac:dyDescent="0.35">
      <c r="A824" s="16"/>
      <c r="B824" s="28"/>
      <c r="C824" s="49"/>
      <c r="D824" s="49"/>
      <c r="E824" s="50"/>
      <c r="F824" s="49"/>
      <c r="G824" s="49"/>
      <c r="H824" s="49"/>
      <c r="I824" s="49"/>
      <c r="J824" s="49"/>
      <c r="K824" s="49"/>
      <c r="L824" s="49"/>
    </row>
    <row r="825" spans="1:12" s="24" customFormat="1" ht="19.95" customHeight="1" x14ac:dyDescent="0.25">
      <c r="A825" s="36" t="s">
        <v>11</v>
      </c>
      <c r="B825" s="2" t="s">
        <v>1</v>
      </c>
      <c r="C825" s="90" t="s">
        <v>2</v>
      </c>
      <c r="D825" s="90"/>
      <c r="E825" s="90"/>
      <c r="F825" s="90"/>
      <c r="G825" s="90"/>
      <c r="H825" s="95"/>
      <c r="I825" s="95"/>
      <c r="J825" s="95"/>
      <c r="K825" s="95"/>
    </row>
    <row r="826" spans="1:12" s="24" customFormat="1" ht="65.400000000000006" customHeight="1" x14ac:dyDescent="0.25">
      <c r="A826" s="1"/>
      <c r="B826" s="6" t="s">
        <v>191</v>
      </c>
      <c r="C826" s="7" t="s">
        <v>4</v>
      </c>
      <c r="D826" s="8" t="s">
        <v>5</v>
      </c>
      <c r="E826" s="9" t="s">
        <v>6</v>
      </c>
      <c r="F826" s="10" t="s">
        <v>7</v>
      </c>
      <c r="G826" s="11" t="s">
        <v>8</v>
      </c>
      <c r="H826" s="11"/>
      <c r="I826" s="11"/>
      <c r="J826" s="11"/>
      <c r="K826" s="11"/>
      <c r="L826" s="10"/>
    </row>
    <row r="827" spans="1:12" s="24" customFormat="1" ht="19.95" customHeight="1" x14ac:dyDescent="0.25">
      <c r="A827" s="13">
        <v>3</v>
      </c>
      <c r="B827" s="14" t="s">
        <v>192</v>
      </c>
      <c r="C827" s="7"/>
      <c r="D827" s="8"/>
      <c r="E827" s="9"/>
      <c r="F827" s="10"/>
      <c r="G827" s="11"/>
      <c r="H827" s="11"/>
      <c r="I827" s="11"/>
      <c r="J827" s="11"/>
      <c r="K827" s="11"/>
      <c r="L827" s="10"/>
    </row>
    <row r="828" spans="1:12" s="24" customFormat="1" ht="19.95" customHeight="1" x14ac:dyDescent="0.25">
      <c r="A828" s="16"/>
      <c r="B828" s="14"/>
      <c r="C828" s="7"/>
      <c r="D828" s="8"/>
      <c r="E828" s="9"/>
      <c r="F828" s="10"/>
      <c r="G828" s="11"/>
      <c r="H828" s="11"/>
      <c r="I828" s="11"/>
      <c r="J828" s="11"/>
      <c r="K828" s="11"/>
      <c r="L828" s="10"/>
    </row>
    <row r="829" spans="1:12" s="24" customFormat="1" ht="19.95" customHeight="1" x14ac:dyDescent="0.25">
      <c r="A829" s="17"/>
      <c r="B829" s="38" t="s">
        <v>157</v>
      </c>
      <c r="C829" s="40"/>
      <c r="D829" s="41"/>
      <c r="E829" s="42"/>
      <c r="F829" s="43"/>
      <c r="G829" s="23">
        <v>3</v>
      </c>
      <c r="H829" s="23"/>
      <c r="I829" s="23"/>
      <c r="J829" s="23"/>
      <c r="K829" s="23"/>
      <c r="L829" s="43"/>
    </row>
    <row r="830" spans="1:12" s="33" customFormat="1" ht="19.95" customHeight="1" x14ac:dyDescent="0.25">
      <c r="A830" s="17"/>
      <c r="B830" s="38" t="s">
        <v>158</v>
      </c>
      <c r="C830" s="40"/>
      <c r="D830" s="41"/>
      <c r="E830" s="42">
        <v>3</v>
      </c>
      <c r="F830" s="43"/>
      <c r="G830" s="23"/>
      <c r="H830" s="23"/>
      <c r="I830" s="23"/>
      <c r="J830" s="23"/>
      <c r="K830" s="23"/>
      <c r="L830" s="43"/>
    </row>
    <row r="831" spans="1:12" ht="19.95" customHeight="1" x14ac:dyDescent="0.35">
      <c r="A831" s="16"/>
      <c r="B831" s="28"/>
      <c r="C831" s="16"/>
      <c r="D831" s="29"/>
      <c r="E831" s="30"/>
      <c r="F831" s="31"/>
      <c r="G831" s="32"/>
      <c r="H831" s="32"/>
      <c r="I831" s="32"/>
      <c r="J831" s="32"/>
      <c r="K831" s="32"/>
      <c r="L831" s="31"/>
    </row>
    <row r="832" spans="1:12" ht="19.95" customHeight="1" x14ac:dyDescent="0.35">
      <c r="A832" s="13">
        <v>4</v>
      </c>
      <c r="B832" s="14" t="s">
        <v>193</v>
      </c>
      <c r="C832" s="7"/>
      <c r="D832" s="8"/>
      <c r="E832" s="9"/>
      <c r="F832" s="10"/>
      <c r="G832" s="11"/>
      <c r="H832" s="11"/>
      <c r="I832" s="11"/>
      <c r="J832" s="11"/>
      <c r="K832" s="11"/>
      <c r="L832" s="10"/>
    </row>
    <row r="833" spans="1:12" s="24" customFormat="1" ht="19.95" customHeight="1" x14ac:dyDescent="0.25">
      <c r="A833" s="16"/>
      <c r="B833" s="14"/>
      <c r="C833" s="7"/>
      <c r="D833" s="8"/>
      <c r="E833" s="9"/>
      <c r="F833" s="10"/>
      <c r="G833" s="11"/>
      <c r="H833" s="11"/>
      <c r="I833" s="11"/>
      <c r="J833" s="11"/>
      <c r="K833" s="11"/>
      <c r="L833" s="10"/>
    </row>
    <row r="834" spans="1:12" s="33" customFormat="1" ht="19.95" customHeight="1" x14ac:dyDescent="0.25">
      <c r="A834" s="17"/>
      <c r="B834" s="38" t="s">
        <v>157</v>
      </c>
      <c r="C834" s="40"/>
      <c r="D834" s="41"/>
      <c r="E834" s="42"/>
      <c r="F834" s="43"/>
      <c r="G834" s="23">
        <v>4</v>
      </c>
      <c r="H834" s="23"/>
      <c r="I834" s="23"/>
      <c r="J834" s="23"/>
      <c r="K834" s="23"/>
      <c r="L834" s="43"/>
    </row>
    <row r="835" spans="1:12" ht="19.95" customHeight="1" x14ac:dyDescent="0.35">
      <c r="B835" s="38" t="s">
        <v>158</v>
      </c>
      <c r="C835" s="40"/>
      <c r="D835" s="41"/>
      <c r="E835" s="42">
        <v>4</v>
      </c>
      <c r="F835" s="43"/>
      <c r="G835" s="23"/>
      <c r="H835" s="23"/>
      <c r="I835" s="23"/>
      <c r="J835" s="23"/>
      <c r="K835" s="23"/>
      <c r="L835" s="43"/>
    </row>
    <row r="836" spans="1:12" ht="19.95" customHeight="1" x14ac:dyDescent="0.35">
      <c r="A836" s="16"/>
      <c r="B836" s="28"/>
      <c r="C836" s="16"/>
      <c r="D836" s="29"/>
      <c r="E836" s="30"/>
      <c r="F836" s="31"/>
      <c r="G836" s="32"/>
      <c r="H836" s="32"/>
      <c r="I836" s="32"/>
      <c r="J836" s="32"/>
      <c r="K836" s="32"/>
      <c r="L836" s="31"/>
    </row>
    <row r="837" spans="1:12" s="24" customFormat="1" ht="19.95" customHeight="1" x14ac:dyDescent="0.25">
      <c r="A837" s="13">
        <v>2</v>
      </c>
      <c r="B837" s="14" t="s">
        <v>194</v>
      </c>
      <c r="C837" s="7"/>
      <c r="D837" s="8"/>
      <c r="E837" s="9"/>
      <c r="F837" s="10"/>
      <c r="G837" s="11"/>
      <c r="H837" s="11"/>
      <c r="I837" s="11"/>
      <c r="J837" s="11"/>
      <c r="K837" s="11"/>
      <c r="L837" s="10"/>
    </row>
    <row r="838" spans="1:12" s="33" customFormat="1" ht="19.95" customHeight="1" x14ac:dyDescent="0.25">
      <c r="A838" s="16"/>
      <c r="B838" s="14"/>
      <c r="C838" s="7"/>
      <c r="D838" s="8"/>
      <c r="E838" s="9"/>
      <c r="F838" s="10"/>
      <c r="G838" s="11"/>
      <c r="H838" s="11"/>
      <c r="I838" s="11"/>
      <c r="J838" s="11"/>
      <c r="K838" s="11"/>
      <c r="L838" s="10"/>
    </row>
    <row r="839" spans="1:12" ht="19.95" customHeight="1" x14ac:dyDescent="0.35">
      <c r="B839" s="38" t="s">
        <v>148</v>
      </c>
      <c r="C839" s="40">
        <v>2</v>
      </c>
      <c r="D839" s="41"/>
      <c r="E839" s="42"/>
      <c r="F839" s="43"/>
      <c r="G839" s="23"/>
      <c r="H839" s="23"/>
      <c r="I839" s="23"/>
      <c r="J839" s="23"/>
      <c r="K839" s="23"/>
      <c r="L839" s="43"/>
    </row>
    <row r="840" spans="1:12" s="24" customFormat="1" ht="19.95" customHeight="1" x14ac:dyDescent="0.25">
      <c r="A840" s="17"/>
      <c r="B840" s="38" t="s">
        <v>135</v>
      </c>
      <c r="C840" s="40">
        <v>2</v>
      </c>
      <c r="D840" s="41"/>
      <c r="E840" s="42"/>
      <c r="F840" s="43"/>
      <c r="G840" s="23"/>
      <c r="H840" s="23"/>
      <c r="I840" s="23"/>
      <c r="J840" s="23"/>
      <c r="K840" s="23"/>
      <c r="L840" s="43"/>
    </row>
    <row r="841" spans="1:12" s="33" customFormat="1" ht="19.95" customHeight="1" x14ac:dyDescent="0.25">
      <c r="A841" s="17"/>
      <c r="B841" s="38" t="s">
        <v>195</v>
      </c>
      <c r="C841" s="40"/>
      <c r="D841" s="41"/>
      <c r="E841" s="42"/>
      <c r="F841" s="43"/>
      <c r="G841" s="23">
        <f>A837</f>
        <v>2</v>
      </c>
      <c r="H841" s="23"/>
      <c r="I841" s="23"/>
      <c r="J841" s="23"/>
      <c r="K841" s="23"/>
      <c r="L841" s="43"/>
    </row>
    <row r="842" spans="1:12" ht="19.95" customHeight="1" x14ac:dyDescent="0.35">
      <c r="A842" s="16"/>
      <c r="B842" s="28"/>
      <c r="C842" s="16"/>
      <c r="D842" s="29"/>
      <c r="E842" s="30"/>
      <c r="F842" s="31"/>
      <c r="G842" s="32"/>
      <c r="H842" s="32"/>
      <c r="I842" s="32"/>
      <c r="J842" s="32"/>
      <c r="K842" s="32"/>
      <c r="L842" s="31"/>
    </row>
    <row r="843" spans="1:12" ht="19.95" customHeight="1" x14ac:dyDescent="0.35">
      <c r="A843" s="13">
        <v>1</v>
      </c>
      <c r="B843" s="14" t="s">
        <v>196</v>
      </c>
      <c r="C843" s="7"/>
      <c r="D843" s="8"/>
      <c r="E843" s="9"/>
      <c r="F843" s="10"/>
      <c r="G843" s="11"/>
      <c r="H843" s="11"/>
      <c r="I843" s="11"/>
      <c r="J843" s="11"/>
      <c r="K843" s="11"/>
      <c r="L843" s="10"/>
    </row>
    <row r="844" spans="1:12" s="24" customFormat="1" ht="19.95" customHeight="1" x14ac:dyDescent="0.25">
      <c r="A844" s="16"/>
      <c r="B844" s="14" t="s">
        <v>197</v>
      </c>
      <c r="C844" s="7"/>
      <c r="D844" s="8"/>
      <c r="E844" s="9"/>
      <c r="F844" s="10"/>
      <c r="G844" s="11"/>
      <c r="H844" s="11"/>
      <c r="I844" s="11"/>
      <c r="J844" s="11"/>
      <c r="K844" s="11"/>
      <c r="L844" s="10"/>
    </row>
    <row r="845" spans="1:12" s="24" customFormat="1" ht="19.95" customHeight="1" x14ac:dyDescent="0.25">
      <c r="A845" s="17"/>
      <c r="B845" s="38" t="s">
        <v>148</v>
      </c>
      <c r="C845" s="40">
        <v>2</v>
      </c>
      <c r="D845" s="41"/>
      <c r="E845" s="42"/>
      <c r="F845" s="43"/>
      <c r="G845" s="23"/>
      <c r="H845" s="23"/>
      <c r="I845" s="23"/>
      <c r="J845" s="23"/>
      <c r="K845" s="23"/>
      <c r="L845" s="43"/>
    </row>
    <row r="846" spans="1:12" s="24" customFormat="1" ht="19.95" customHeight="1" x14ac:dyDescent="0.25">
      <c r="A846" s="17"/>
      <c r="B846" s="38" t="s">
        <v>135</v>
      </c>
      <c r="C846" s="40">
        <v>2</v>
      </c>
      <c r="D846" s="41"/>
      <c r="E846" s="42"/>
      <c r="F846" s="43"/>
      <c r="G846" s="23"/>
      <c r="H846" s="23"/>
      <c r="I846" s="23"/>
      <c r="J846" s="23"/>
      <c r="K846" s="23"/>
      <c r="L846" s="43"/>
    </row>
    <row r="847" spans="1:12" s="24" customFormat="1" ht="19.95" customHeight="1" x14ac:dyDescent="0.25">
      <c r="A847" s="17"/>
      <c r="B847" s="38" t="s">
        <v>198</v>
      </c>
      <c r="C847" s="40">
        <v>2</v>
      </c>
      <c r="D847" s="41"/>
      <c r="E847" s="42"/>
      <c r="F847" s="43"/>
      <c r="G847" s="23"/>
      <c r="H847" s="23"/>
      <c r="I847" s="23"/>
      <c r="J847" s="23"/>
      <c r="K847" s="23"/>
      <c r="L847" s="43"/>
    </row>
    <row r="848" spans="1:12" s="33" customFormat="1" ht="19.95" customHeight="1" x14ac:dyDescent="0.25">
      <c r="A848" s="16"/>
      <c r="B848" s="28"/>
      <c r="C848" s="16"/>
      <c r="D848" s="29"/>
      <c r="E848" s="30"/>
      <c r="F848" s="31"/>
      <c r="G848" s="32"/>
      <c r="H848" s="32"/>
      <c r="I848" s="32"/>
      <c r="J848" s="32"/>
      <c r="K848" s="32"/>
      <c r="L848" s="31"/>
    </row>
    <row r="849" spans="1:12" ht="19.95" customHeight="1" x14ac:dyDescent="0.35">
      <c r="A849" s="13">
        <v>1</v>
      </c>
      <c r="B849" s="14" t="s">
        <v>199</v>
      </c>
      <c r="C849" s="7"/>
      <c r="D849" s="8"/>
      <c r="E849" s="9"/>
      <c r="F849" s="10"/>
      <c r="G849" s="11"/>
      <c r="H849" s="11"/>
      <c r="I849" s="11"/>
      <c r="J849" s="11"/>
      <c r="K849" s="11"/>
      <c r="L849" s="10"/>
    </row>
    <row r="850" spans="1:12" ht="19.95" customHeight="1" x14ac:dyDescent="0.35">
      <c r="A850" s="16"/>
      <c r="B850" s="14" t="s">
        <v>200</v>
      </c>
      <c r="C850" s="7"/>
      <c r="D850" s="8"/>
      <c r="E850" s="9"/>
      <c r="F850" s="10"/>
      <c r="G850" s="11"/>
      <c r="H850" s="11"/>
      <c r="I850" s="11"/>
      <c r="J850" s="11"/>
      <c r="K850" s="11"/>
      <c r="L850" s="10"/>
    </row>
    <row r="851" spans="1:12" ht="19.95" customHeight="1" x14ac:dyDescent="0.35">
      <c r="B851" s="38" t="s">
        <v>135</v>
      </c>
      <c r="C851" s="40">
        <v>2</v>
      </c>
      <c r="D851" s="41"/>
      <c r="E851" s="42"/>
      <c r="F851" s="43"/>
      <c r="G851" s="23"/>
      <c r="H851" s="23"/>
      <c r="I851" s="23"/>
      <c r="J851" s="23"/>
      <c r="K851" s="23"/>
      <c r="L851" s="43"/>
    </row>
    <row r="852" spans="1:12" s="24" customFormat="1" ht="19.95" customHeight="1" x14ac:dyDescent="0.25">
      <c r="A852" s="17"/>
      <c r="B852" s="38" t="s">
        <v>148</v>
      </c>
      <c r="C852" s="40">
        <v>2</v>
      </c>
      <c r="D852" s="41"/>
      <c r="E852" s="42"/>
      <c r="F852" s="43"/>
      <c r="G852" s="23"/>
      <c r="H852" s="23"/>
      <c r="I852" s="23"/>
      <c r="J852" s="23"/>
      <c r="K852" s="23"/>
      <c r="L852" s="43"/>
    </row>
    <row r="853" spans="1:12" s="24" customFormat="1" ht="19.95" customHeight="1" x14ac:dyDescent="0.25">
      <c r="A853" s="17"/>
      <c r="B853" s="38" t="s">
        <v>201</v>
      </c>
      <c r="C853" s="40">
        <v>2</v>
      </c>
      <c r="D853" s="41"/>
      <c r="E853" s="42"/>
      <c r="F853" s="43"/>
      <c r="G853" s="23"/>
      <c r="H853" s="23"/>
      <c r="I853" s="23"/>
      <c r="J853" s="23"/>
      <c r="K853" s="23"/>
      <c r="L853" s="43"/>
    </row>
    <row r="854" spans="1:12" s="24" customFormat="1" ht="19.95" customHeight="1" x14ac:dyDescent="0.25">
      <c r="A854" s="16"/>
      <c r="B854" s="28"/>
      <c r="C854" s="16"/>
      <c r="D854" s="29"/>
      <c r="E854" s="30"/>
      <c r="F854" s="31"/>
      <c r="G854" s="32"/>
      <c r="H854" s="32"/>
      <c r="I854" s="32"/>
      <c r="J854" s="32"/>
      <c r="K854" s="32"/>
      <c r="L854" s="31"/>
    </row>
    <row r="855" spans="1:12" s="24" customFormat="1" ht="19.95" customHeight="1" x14ac:dyDescent="0.25">
      <c r="A855" s="13">
        <v>2</v>
      </c>
      <c r="B855" s="14" t="s">
        <v>202</v>
      </c>
      <c r="C855" s="7"/>
      <c r="D855" s="8"/>
      <c r="E855" s="9"/>
      <c r="F855" s="10"/>
      <c r="G855" s="11"/>
      <c r="H855" s="11"/>
      <c r="I855" s="11"/>
      <c r="J855" s="11"/>
      <c r="K855" s="11"/>
      <c r="L855" s="10"/>
    </row>
    <row r="856" spans="1:12" s="24" customFormat="1" ht="19.95" customHeight="1" x14ac:dyDescent="0.25">
      <c r="A856" s="16"/>
      <c r="B856" s="14" t="s">
        <v>203</v>
      </c>
      <c r="C856" s="7"/>
      <c r="D856" s="8"/>
      <c r="E856" s="9"/>
      <c r="F856" s="10"/>
      <c r="G856" s="11"/>
      <c r="H856" s="11"/>
      <c r="I856" s="11"/>
      <c r="J856" s="11"/>
      <c r="K856" s="11"/>
      <c r="L856" s="10"/>
    </row>
    <row r="857" spans="1:12" s="33" customFormat="1" ht="19.95" customHeight="1" x14ac:dyDescent="0.25">
      <c r="A857" s="17"/>
      <c r="B857" s="38" t="s">
        <v>153</v>
      </c>
      <c r="C857" s="40">
        <v>2</v>
      </c>
      <c r="D857" s="41"/>
      <c r="E857" s="42"/>
      <c r="F857" s="43"/>
      <c r="G857" s="23"/>
      <c r="H857" s="23"/>
      <c r="I857" s="23"/>
      <c r="J857" s="23"/>
      <c r="K857" s="23"/>
      <c r="L857" s="43"/>
    </row>
    <row r="858" spans="1:12" ht="19.95" customHeight="1" x14ac:dyDescent="0.35">
      <c r="A858" s="16"/>
      <c r="B858" s="28"/>
      <c r="C858" s="16"/>
      <c r="D858" s="29"/>
      <c r="E858" s="30"/>
      <c r="F858" s="31"/>
      <c r="G858" s="32"/>
      <c r="H858" s="32"/>
      <c r="I858" s="32"/>
      <c r="J858" s="32"/>
      <c r="K858" s="32"/>
      <c r="L858" s="31"/>
    </row>
    <row r="859" spans="1:12" s="24" customFormat="1" ht="19.95" customHeight="1" x14ac:dyDescent="0.25">
      <c r="A859" s="13">
        <v>1</v>
      </c>
      <c r="B859" s="14" t="s">
        <v>204</v>
      </c>
      <c r="C859" s="7"/>
      <c r="D859" s="8"/>
      <c r="E859" s="9"/>
      <c r="F859" s="10"/>
      <c r="G859" s="11"/>
      <c r="H859" s="11"/>
      <c r="I859" s="11"/>
      <c r="J859" s="11"/>
      <c r="K859" s="11"/>
      <c r="L859" s="10"/>
    </row>
    <row r="860" spans="1:12" s="33" customFormat="1" ht="19.95" customHeight="1" x14ac:dyDescent="0.25">
      <c r="A860" s="16"/>
      <c r="B860" s="14"/>
      <c r="C860" s="7"/>
      <c r="D860" s="8"/>
      <c r="E860" s="9"/>
      <c r="F860" s="10"/>
      <c r="G860" s="11"/>
      <c r="H860" s="11"/>
      <c r="I860" s="11"/>
      <c r="J860" s="11"/>
      <c r="K860" s="11"/>
      <c r="L860" s="10"/>
    </row>
    <row r="861" spans="1:12" ht="19.95" customHeight="1" x14ac:dyDescent="0.35">
      <c r="B861" s="38" t="s">
        <v>205</v>
      </c>
      <c r="C861" s="40">
        <v>1</v>
      </c>
      <c r="D861" s="41"/>
      <c r="E861" s="42"/>
      <c r="F861" s="43"/>
      <c r="G861" s="23"/>
      <c r="H861" s="23"/>
      <c r="I861" s="23"/>
      <c r="J861" s="23"/>
      <c r="K861" s="23"/>
      <c r="L861" s="43"/>
    </row>
    <row r="862" spans="1:12" ht="19.95" customHeight="1" x14ac:dyDescent="0.35">
      <c r="B862" s="38" t="s">
        <v>206</v>
      </c>
      <c r="C862" s="40">
        <v>1</v>
      </c>
      <c r="D862" s="41"/>
      <c r="E862" s="42"/>
      <c r="F862" s="43"/>
      <c r="G862" s="23"/>
      <c r="H862" s="23"/>
      <c r="I862" s="23"/>
      <c r="J862" s="23"/>
      <c r="K862" s="23"/>
      <c r="L862" s="43"/>
    </row>
    <row r="863" spans="1:12" s="24" customFormat="1" ht="19.95" customHeight="1" x14ac:dyDescent="0.25">
      <c r="A863" s="17"/>
      <c r="B863" s="38" t="s">
        <v>207</v>
      </c>
      <c r="C863" s="40">
        <v>1</v>
      </c>
      <c r="D863" s="41"/>
      <c r="E863" s="42"/>
      <c r="F863" s="43"/>
      <c r="G863" s="23"/>
      <c r="H863" s="23"/>
      <c r="I863" s="23"/>
      <c r="J863" s="23"/>
      <c r="K863" s="23"/>
      <c r="L863" s="43"/>
    </row>
    <row r="864" spans="1:12" s="24" customFormat="1" ht="34.799999999999997" customHeight="1" x14ac:dyDescent="0.25">
      <c r="A864" s="17"/>
      <c r="B864" s="38" t="s">
        <v>208</v>
      </c>
      <c r="C864" s="40">
        <v>1</v>
      </c>
      <c r="D864" s="41"/>
      <c r="E864" s="42"/>
      <c r="F864" s="43"/>
      <c r="G864" s="23"/>
      <c r="H864" s="23"/>
      <c r="I864" s="23"/>
      <c r="J864" s="23"/>
      <c r="K864" s="23"/>
      <c r="L864" s="43"/>
    </row>
    <row r="865" spans="1:12" s="33" customFormat="1" x14ac:dyDescent="0.25">
      <c r="A865" s="17"/>
      <c r="B865" s="38" t="s">
        <v>209</v>
      </c>
      <c r="C865" s="40">
        <v>1</v>
      </c>
      <c r="D865" s="41"/>
      <c r="E865" s="42"/>
      <c r="F865" s="43"/>
      <c r="G865" s="23"/>
      <c r="H865" s="23"/>
      <c r="I865" s="23"/>
      <c r="J865" s="23"/>
      <c r="K865" s="23"/>
      <c r="L865" s="43"/>
    </row>
    <row r="866" spans="1:12" s="24" customFormat="1" ht="19.95" customHeight="1" x14ac:dyDescent="0.25">
      <c r="A866" s="17"/>
      <c r="B866" s="38" t="s">
        <v>210</v>
      </c>
      <c r="C866" s="40"/>
      <c r="D866" s="41"/>
      <c r="E866" s="42">
        <v>1</v>
      </c>
      <c r="F866" s="43"/>
      <c r="G866" s="23"/>
      <c r="H866" s="23"/>
      <c r="I866" s="23"/>
      <c r="J866" s="23"/>
      <c r="K866" s="23"/>
      <c r="L866" s="43"/>
    </row>
    <row r="867" spans="1:12" customFormat="1" ht="19.95" customHeight="1" x14ac:dyDescent="0.25">
      <c r="A867" s="16"/>
      <c r="B867" s="28"/>
      <c r="C867" s="16"/>
      <c r="D867" s="29"/>
      <c r="E867" s="30"/>
      <c r="F867" s="31"/>
      <c r="G867" s="32"/>
      <c r="H867" s="32"/>
      <c r="I867" s="32"/>
      <c r="J867" s="32"/>
      <c r="K867" s="32"/>
      <c r="L867" s="31"/>
    </row>
    <row r="868" spans="1:12" s="24" customFormat="1" ht="19.95" customHeight="1" x14ac:dyDescent="0.25">
      <c r="A868" s="13">
        <v>2</v>
      </c>
      <c r="B868" s="14" t="s">
        <v>211</v>
      </c>
      <c r="C868" s="7"/>
      <c r="D868" s="8"/>
      <c r="E868" s="9"/>
      <c r="F868" s="10"/>
      <c r="G868" s="11"/>
      <c r="H868" s="11"/>
      <c r="I868" s="11"/>
      <c r="J868" s="11"/>
      <c r="K868" s="11"/>
      <c r="L868" s="10"/>
    </row>
    <row r="869" spans="1:12" s="12" customFormat="1" ht="19.95" customHeight="1" x14ac:dyDescent="0.3">
      <c r="A869" s="16"/>
      <c r="B869" s="14"/>
      <c r="C869" s="7"/>
      <c r="D869" s="8"/>
      <c r="E869" s="9"/>
      <c r="F869" s="10"/>
      <c r="G869" s="11"/>
      <c r="H869" s="11"/>
      <c r="I869" s="11"/>
      <c r="J869" s="11"/>
      <c r="K869" s="11"/>
      <c r="L869" s="10"/>
    </row>
    <row r="870" spans="1:12" ht="19.95" customHeight="1" x14ac:dyDescent="0.35">
      <c r="B870" s="38" t="s">
        <v>134</v>
      </c>
      <c r="C870" s="40">
        <f>2*A868</f>
        <v>4</v>
      </c>
      <c r="D870" s="41"/>
      <c r="E870" s="42"/>
      <c r="F870" s="43"/>
      <c r="G870" s="23"/>
      <c r="H870" s="23"/>
      <c r="I870" s="23"/>
      <c r="J870" s="23"/>
      <c r="K870" s="23"/>
      <c r="L870" s="43"/>
    </row>
    <row r="871" spans="1:12" ht="19.95" customHeight="1" x14ac:dyDescent="0.35">
      <c r="B871" s="38" t="s">
        <v>135</v>
      </c>
      <c r="C871" s="40">
        <f>C870</f>
        <v>4</v>
      </c>
      <c r="D871" s="41"/>
      <c r="E871" s="42"/>
      <c r="F871" s="43"/>
      <c r="G871" s="23"/>
      <c r="H871" s="23"/>
      <c r="I871" s="23"/>
      <c r="J871" s="23"/>
      <c r="K871" s="23"/>
      <c r="L871" s="43"/>
    </row>
    <row r="872" spans="1:12" s="24" customFormat="1" ht="19.95" customHeight="1" x14ac:dyDescent="0.25">
      <c r="A872" s="17"/>
      <c r="B872" s="38" t="s">
        <v>212</v>
      </c>
      <c r="C872" s="40">
        <f>C871</f>
        <v>4</v>
      </c>
      <c r="D872" s="41"/>
      <c r="E872" s="42"/>
      <c r="F872" s="43"/>
      <c r="G872" s="23"/>
      <c r="H872" s="23"/>
      <c r="I872" s="23"/>
      <c r="J872" s="23"/>
      <c r="K872" s="23"/>
      <c r="L872" s="43"/>
    </row>
    <row r="873" spans="1:12" s="33" customFormat="1" ht="19.95" customHeight="1" x14ac:dyDescent="0.25">
      <c r="A873" s="17"/>
      <c r="B873" s="38" t="s">
        <v>169</v>
      </c>
      <c r="C873" s="40"/>
      <c r="D873" s="41"/>
      <c r="E873" s="42"/>
      <c r="F873" s="43"/>
      <c r="G873" s="23">
        <f>A868</f>
        <v>2</v>
      </c>
      <c r="H873" s="23"/>
      <c r="I873" s="23"/>
      <c r="J873" s="23"/>
      <c r="K873" s="23"/>
      <c r="L873" s="43"/>
    </row>
    <row r="874" spans="1:12" ht="19.95" customHeight="1" x14ac:dyDescent="0.35">
      <c r="B874" s="38" t="s">
        <v>170</v>
      </c>
      <c r="C874" s="40"/>
      <c r="D874" s="41"/>
      <c r="E874" s="42"/>
      <c r="F874" s="43"/>
      <c r="G874" s="23">
        <f>A868</f>
        <v>2</v>
      </c>
      <c r="H874" s="23"/>
      <c r="I874" s="23"/>
      <c r="J874" s="23"/>
      <c r="K874" s="23"/>
      <c r="L874" s="43"/>
    </row>
    <row r="875" spans="1:12" ht="19.95" customHeight="1" x14ac:dyDescent="0.35">
      <c r="A875" s="16"/>
      <c r="B875" s="28"/>
      <c r="C875" s="16"/>
      <c r="D875" s="29"/>
      <c r="E875" s="30"/>
      <c r="F875" s="31"/>
      <c r="G875" s="32"/>
      <c r="H875" s="32"/>
      <c r="I875" s="32"/>
      <c r="J875" s="32"/>
      <c r="K875" s="32"/>
      <c r="L875" s="31"/>
    </row>
    <row r="876" spans="1:12" s="24" customFormat="1" ht="19.95" customHeight="1" x14ac:dyDescent="0.25">
      <c r="A876" s="13">
        <v>1</v>
      </c>
      <c r="B876" s="14" t="s">
        <v>213</v>
      </c>
      <c r="C876" s="7"/>
      <c r="D876" s="8"/>
      <c r="E876" s="9"/>
      <c r="F876" s="10"/>
      <c r="G876" s="11"/>
      <c r="H876" s="11"/>
      <c r="I876" s="11"/>
      <c r="J876" s="11"/>
      <c r="K876" s="11"/>
      <c r="L876" s="10"/>
    </row>
    <row r="877" spans="1:12" s="33" customFormat="1" ht="19.95" customHeight="1" x14ac:dyDescent="0.25">
      <c r="A877" s="16"/>
      <c r="B877" s="14" t="s">
        <v>214</v>
      </c>
      <c r="C877" s="7"/>
      <c r="D877" s="8"/>
      <c r="E877" s="9"/>
      <c r="F877" s="10"/>
      <c r="G877" s="11"/>
      <c r="H877" s="11"/>
      <c r="I877" s="11"/>
      <c r="J877" s="11"/>
      <c r="K877" s="11"/>
      <c r="L877" s="10"/>
    </row>
    <row r="878" spans="1:12" ht="19.95" customHeight="1" x14ac:dyDescent="0.35">
      <c r="B878" s="38" t="s">
        <v>215</v>
      </c>
      <c r="C878" s="40"/>
      <c r="D878" s="41"/>
      <c r="E878" s="42"/>
      <c r="F878" s="43"/>
      <c r="G878" s="23">
        <v>1</v>
      </c>
      <c r="H878" s="23"/>
      <c r="I878" s="23"/>
      <c r="J878" s="23"/>
      <c r="K878" s="23"/>
      <c r="L878" s="43"/>
    </row>
    <row r="879" spans="1:12" ht="19.95" customHeight="1" x14ac:dyDescent="0.35">
      <c r="B879" s="38" t="s">
        <v>132</v>
      </c>
      <c r="C879" s="40">
        <v>1</v>
      </c>
      <c r="D879" s="41"/>
      <c r="E879" s="42"/>
      <c r="F879" s="43"/>
      <c r="G879" s="23">
        <v>1</v>
      </c>
      <c r="H879" s="23"/>
      <c r="I879" s="23"/>
      <c r="J879" s="23"/>
      <c r="K879" s="23"/>
      <c r="L879" s="43"/>
    </row>
    <row r="880" spans="1:12" ht="19.95" customHeight="1" x14ac:dyDescent="0.35">
      <c r="B880" s="38" t="s">
        <v>93</v>
      </c>
      <c r="C880" s="40">
        <v>1</v>
      </c>
      <c r="D880" s="41"/>
      <c r="E880" s="42"/>
      <c r="F880" s="43"/>
      <c r="G880" s="23"/>
      <c r="H880" s="23"/>
      <c r="I880" s="23"/>
      <c r="J880" s="23"/>
      <c r="K880" s="23"/>
      <c r="L880" s="43"/>
    </row>
    <row r="881" spans="1:12" s="24" customFormat="1" ht="19.95" customHeight="1" x14ac:dyDescent="0.25">
      <c r="A881" s="17"/>
      <c r="B881" s="38" t="s">
        <v>216</v>
      </c>
      <c r="C881" s="40">
        <v>1</v>
      </c>
      <c r="D881" s="41"/>
      <c r="E881" s="42"/>
      <c r="F881" s="43"/>
      <c r="G881" s="23"/>
      <c r="H881" s="23"/>
      <c r="I881" s="23"/>
      <c r="J881" s="23"/>
      <c r="K881" s="23"/>
      <c r="L881" s="43"/>
    </row>
    <row r="882" spans="1:12" s="24" customFormat="1" ht="19.95" customHeight="1" x14ac:dyDescent="0.25">
      <c r="A882" s="16"/>
      <c r="B882" s="28"/>
      <c r="C882" s="16"/>
      <c r="D882" s="29"/>
      <c r="E882" s="30"/>
      <c r="F882" s="31"/>
      <c r="G882" s="32"/>
      <c r="H882" s="32"/>
      <c r="I882" s="32"/>
      <c r="J882" s="32"/>
      <c r="K882" s="32"/>
      <c r="L882" s="31"/>
    </row>
    <row r="883" spans="1:12" s="24" customFormat="1" ht="19.95" customHeight="1" x14ac:dyDescent="0.25">
      <c r="A883" s="13">
        <v>1</v>
      </c>
      <c r="B883" s="14" t="s">
        <v>217</v>
      </c>
      <c r="C883" s="7"/>
      <c r="D883" s="8"/>
      <c r="E883" s="9"/>
      <c r="F883" s="10"/>
      <c r="G883" s="11"/>
      <c r="H883" s="11"/>
      <c r="I883" s="11"/>
      <c r="J883" s="11"/>
      <c r="K883" s="11"/>
      <c r="L883" s="10"/>
    </row>
    <row r="884" spans="1:12" s="24" customFormat="1" x14ac:dyDescent="0.25">
      <c r="A884" s="16"/>
      <c r="B884" s="14" t="s">
        <v>218</v>
      </c>
      <c r="C884" s="7"/>
      <c r="D884" s="8"/>
      <c r="E884" s="9"/>
      <c r="F884" s="10"/>
      <c r="G884" s="11"/>
      <c r="H884" s="11"/>
      <c r="I884" s="11"/>
      <c r="J884" s="11"/>
      <c r="K884" s="11"/>
      <c r="L884" s="10"/>
    </row>
    <row r="885" spans="1:12" s="24" customFormat="1" ht="25.2" customHeight="1" x14ac:dyDescent="0.25">
      <c r="A885" s="17"/>
      <c r="B885" s="38" t="s">
        <v>215</v>
      </c>
      <c r="C885" s="40"/>
      <c r="D885" s="41"/>
      <c r="E885" s="42"/>
      <c r="F885" s="43"/>
      <c r="G885" s="23">
        <v>1</v>
      </c>
      <c r="H885" s="23"/>
      <c r="I885" s="23"/>
      <c r="J885" s="23"/>
      <c r="K885" s="23"/>
      <c r="L885" s="43"/>
    </row>
    <row r="886" spans="1:12" s="24" customFormat="1" x14ac:dyDescent="0.25">
      <c r="A886" s="17"/>
      <c r="B886" s="38" t="s">
        <v>132</v>
      </c>
      <c r="C886" s="40">
        <v>1</v>
      </c>
      <c r="D886" s="41"/>
      <c r="E886" s="42"/>
      <c r="F886" s="43"/>
      <c r="G886" s="23">
        <v>1</v>
      </c>
      <c r="H886" s="23"/>
      <c r="I886" s="23"/>
      <c r="J886" s="23"/>
      <c r="K886" s="23"/>
      <c r="L886" s="43"/>
    </row>
    <row r="887" spans="1:12" s="24" customFormat="1" ht="19.95" customHeight="1" x14ac:dyDescent="0.25">
      <c r="A887" s="17"/>
      <c r="B887" s="38" t="s">
        <v>93</v>
      </c>
      <c r="C887" s="40">
        <v>1</v>
      </c>
      <c r="D887" s="41"/>
      <c r="E887" s="42"/>
      <c r="F887" s="43"/>
      <c r="G887" s="23"/>
      <c r="H887" s="23"/>
      <c r="I887" s="23"/>
      <c r="J887" s="23"/>
      <c r="K887" s="23"/>
      <c r="L887" s="43"/>
    </row>
    <row r="888" spans="1:12" customFormat="1" ht="19.95" customHeight="1" x14ac:dyDescent="0.25">
      <c r="A888" s="17"/>
      <c r="B888" s="38" t="s">
        <v>216</v>
      </c>
      <c r="C888" s="40">
        <v>1</v>
      </c>
      <c r="D888" s="41"/>
      <c r="E888" s="42"/>
      <c r="F888" s="43"/>
      <c r="G888" s="23"/>
      <c r="H888" s="23"/>
      <c r="I888" s="23"/>
      <c r="J888" s="23"/>
      <c r="K888" s="23"/>
      <c r="L888" s="43"/>
    </row>
    <row r="889" spans="1:12" s="24" customFormat="1" ht="19.95" customHeight="1" x14ac:dyDescent="0.25">
      <c r="A889" s="16"/>
      <c r="B889" s="28"/>
      <c r="C889" s="16"/>
      <c r="D889" s="29"/>
      <c r="E889" s="30"/>
      <c r="F889" s="31"/>
      <c r="G889" s="32"/>
      <c r="H889" s="32"/>
      <c r="I889" s="32"/>
      <c r="J889" s="32"/>
      <c r="K889" s="32"/>
      <c r="L889" s="31"/>
    </row>
    <row r="890" spans="1:12" s="12" customFormat="1" ht="19.95" customHeight="1" x14ac:dyDescent="0.3">
      <c r="A890" s="44"/>
      <c r="B890" s="45" t="s">
        <v>10</v>
      </c>
      <c r="C890" s="46">
        <f>SUM(C829:C888)</f>
        <v>41</v>
      </c>
      <c r="D890" s="46">
        <f>SUM(D829:D888)</f>
        <v>0</v>
      </c>
      <c r="E890" s="46">
        <f>SUM(E829:E888)</f>
        <v>8</v>
      </c>
      <c r="F890" s="46">
        <f>SUM(F829:F888)</f>
        <v>0</v>
      </c>
      <c r="G890" s="46">
        <f>SUM(G829:G888)</f>
        <v>17</v>
      </c>
      <c r="H890" s="46"/>
      <c r="I890" s="46"/>
      <c r="J890" s="46"/>
      <c r="K890" s="46"/>
      <c r="L890" s="46"/>
    </row>
    <row r="891" spans="1:12" ht="19.95" customHeight="1" x14ac:dyDescent="0.35">
      <c r="A891" s="16"/>
      <c r="B891" s="28"/>
      <c r="C891" s="49"/>
      <c r="D891" s="49"/>
      <c r="E891" s="50"/>
      <c r="F891" s="49"/>
      <c r="G891" s="49"/>
      <c r="H891" s="49"/>
      <c r="I891" s="49"/>
      <c r="J891" s="49"/>
      <c r="K891" s="49"/>
      <c r="L891" s="49"/>
    </row>
    <row r="892" spans="1:12" ht="19.95" customHeight="1" x14ac:dyDescent="0.35">
      <c r="A892" s="36" t="s">
        <v>11</v>
      </c>
      <c r="B892" s="2" t="s">
        <v>1</v>
      </c>
      <c r="C892" s="90" t="s">
        <v>2</v>
      </c>
      <c r="D892" s="90"/>
      <c r="E892" s="90"/>
      <c r="F892" s="90"/>
      <c r="G892" s="90"/>
      <c r="H892" s="95"/>
      <c r="I892" s="95"/>
      <c r="J892" s="95"/>
      <c r="K892" s="95"/>
      <c r="L892" s="15"/>
    </row>
    <row r="893" spans="1:12" s="24" customFormat="1" ht="96" customHeight="1" x14ac:dyDescent="0.25">
      <c r="A893" s="1"/>
      <c r="B893" s="6" t="s">
        <v>219</v>
      </c>
      <c r="C893" s="7" t="s">
        <v>4</v>
      </c>
      <c r="D893" s="8" t="s">
        <v>5</v>
      </c>
      <c r="E893" s="9" t="s">
        <v>6</v>
      </c>
      <c r="F893" s="10" t="s">
        <v>7</v>
      </c>
      <c r="G893" s="11" t="s">
        <v>8</v>
      </c>
      <c r="H893" s="11"/>
      <c r="I893" s="11"/>
      <c r="J893" s="11"/>
      <c r="K893" s="11"/>
      <c r="L893" s="10"/>
    </row>
    <row r="894" spans="1:12" s="33" customFormat="1" ht="19.95" customHeight="1" x14ac:dyDescent="0.25">
      <c r="A894" s="13">
        <v>1</v>
      </c>
      <c r="B894" s="14" t="s">
        <v>25</v>
      </c>
      <c r="C894" s="7"/>
      <c r="D894" s="8"/>
      <c r="E894" s="9"/>
      <c r="F894" s="10"/>
      <c r="G894" s="11"/>
      <c r="H894" s="11"/>
      <c r="I894" s="11"/>
      <c r="J894" s="11"/>
      <c r="K894" s="11"/>
      <c r="L894" s="10"/>
    </row>
    <row r="895" spans="1:12" ht="19.95" customHeight="1" x14ac:dyDescent="0.35">
      <c r="A895" s="16"/>
      <c r="B895" s="14" t="s">
        <v>220</v>
      </c>
      <c r="C895" s="7"/>
      <c r="D895" s="8"/>
      <c r="E895" s="9"/>
      <c r="F895" s="10"/>
      <c r="G895" s="11"/>
      <c r="H895" s="11"/>
      <c r="I895" s="11"/>
      <c r="J895" s="11"/>
      <c r="K895" s="11"/>
      <c r="L895" s="10"/>
    </row>
    <row r="896" spans="1:12" ht="19.95" customHeight="1" x14ac:dyDescent="0.35">
      <c r="B896" s="38" t="s">
        <v>26</v>
      </c>
      <c r="C896" s="40">
        <v>1</v>
      </c>
      <c r="D896" s="41"/>
      <c r="E896" s="42"/>
      <c r="F896" s="43"/>
      <c r="G896" s="23"/>
      <c r="H896" s="23"/>
      <c r="I896" s="23"/>
      <c r="J896" s="23"/>
      <c r="K896" s="23"/>
      <c r="L896" s="43"/>
    </row>
    <row r="897" spans="1:12" s="24" customFormat="1" ht="19.95" customHeight="1" x14ac:dyDescent="0.25">
      <c r="A897" s="17"/>
      <c r="B897" s="38" t="s">
        <v>27</v>
      </c>
      <c r="C897" s="40">
        <v>1</v>
      </c>
      <c r="D897" s="41"/>
      <c r="E897" s="42"/>
      <c r="F897" s="43"/>
      <c r="G897" s="23"/>
      <c r="H897" s="23"/>
      <c r="I897" s="23"/>
      <c r="J897" s="23"/>
      <c r="K897" s="23"/>
      <c r="L897" s="43"/>
    </row>
    <row r="898" spans="1:12" s="33" customFormat="1" ht="19.95" customHeight="1" x14ac:dyDescent="0.25">
      <c r="A898" s="17"/>
      <c r="B898" s="38"/>
      <c r="C898" s="40"/>
      <c r="D898" s="41"/>
      <c r="E898" s="42"/>
      <c r="F898" s="43"/>
      <c r="G898" s="23"/>
      <c r="H898" s="23"/>
      <c r="I898" s="23"/>
      <c r="J898" s="23"/>
      <c r="K898" s="23"/>
      <c r="L898" s="43"/>
    </row>
    <row r="899" spans="1:12" ht="19.95" customHeight="1" x14ac:dyDescent="0.35">
      <c r="A899" s="13">
        <v>1</v>
      </c>
      <c r="B899" s="14" t="s">
        <v>29</v>
      </c>
      <c r="C899" s="7"/>
      <c r="D899" s="8"/>
      <c r="E899" s="9"/>
      <c r="F899" s="10"/>
      <c r="G899" s="11"/>
      <c r="H899" s="11"/>
      <c r="I899" s="11"/>
      <c r="J899" s="11"/>
      <c r="K899" s="11"/>
      <c r="L899" s="10"/>
    </row>
    <row r="900" spans="1:12" ht="19.95" customHeight="1" x14ac:dyDescent="0.35">
      <c r="A900" s="16"/>
      <c r="B900" s="14" t="s">
        <v>221</v>
      </c>
      <c r="C900" s="7"/>
      <c r="D900" s="8"/>
      <c r="E900" s="9"/>
      <c r="F900" s="10"/>
      <c r="G900" s="11"/>
      <c r="H900" s="11"/>
      <c r="I900" s="11"/>
      <c r="J900" s="11"/>
      <c r="K900" s="11"/>
      <c r="L900" s="10"/>
    </row>
    <row r="901" spans="1:12" s="24" customFormat="1" ht="19.95" customHeight="1" x14ac:dyDescent="0.25">
      <c r="A901" s="17"/>
      <c r="B901" s="38" t="s">
        <v>26</v>
      </c>
      <c r="C901" s="40">
        <v>1</v>
      </c>
      <c r="D901" s="41"/>
      <c r="E901" s="42"/>
      <c r="F901" s="43"/>
      <c r="G901" s="23"/>
      <c r="H901" s="23"/>
      <c r="I901" s="23"/>
      <c r="J901" s="23"/>
      <c r="K901" s="23"/>
      <c r="L901" s="43"/>
    </row>
    <row r="902" spans="1:12" s="33" customFormat="1" ht="19.95" customHeight="1" x14ac:dyDescent="0.25">
      <c r="A902" s="17"/>
      <c r="B902" s="38" t="s">
        <v>27</v>
      </c>
      <c r="C902" s="40">
        <v>1</v>
      </c>
      <c r="D902" s="41"/>
      <c r="E902" s="42"/>
      <c r="F902" s="43"/>
      <c r="G902" s="23"/>
      <c r="H902" s="23"/>
      <c r="I902" s="23"/>
      <c r="J902" s="23"/>
      <c r="K902" s="23"/>
      <c r="L902" s="43"/>
    </row>
    <row r="903" spans="1:12" ht="19.95" customHeight="1" x14ac:dyDescent="0.35">
      <c r="A903" s="16"/>
      <c r="B903" s="28"/>
      <c r="C903" s="16"/>
      <c r="D903" s="29"/>
      <c r="E903" s="30"/>
      <c r="F903" s="31"/>
      <c r="G903" s="32"/>
      <c r="H903" s="32"/>
      <c r="I903" s="32"/>
      <c r="J903" s="32"/>
      <c r="K903" s="32"/>
      <c r="L903" s="31"/>
    </row>
    <row r="904" spans="1:12" ht="19.95" customHeight="1" x14ac:dyDescent="0.35">
      <c r="A904" s="13">
        <v>1</v>
      </c>
      <c r="B904" s="14" t="s">
        <v>32</v>
      </c>
      <c r="C904" s="7"/>
      <c r="D904" s="8"/>
      <c r="E904" s="9"/>
      <c r="F904" s="10"/>
      <c r="G904" s="11"/>
      <c r="H904" s="11"/>
      <c r="I904" s="11"/>
      <c r="J904" s="11"/>
      <c r="K904" s="11"/>
      <c r="L904" s="10"/>
    </row>
    <row r="905" spans="1:12" s="24" customFormat="1" ht="19.95" customHeight="1" x14ac:dyDescent="0.25">
      <c r="A905" s="16"/>
      <c r="B905" s="14" t="s">
        <v>222</v>
      </c>
      <c r="C905" s="7"/>
      <c r="D905" s="8"/>
      <c r="E905" s="9"/>
      <c r="F905" s="10"/>
      <c r="G905" s="11"/>
      <c r="H905" s="11"/>
      <c r="I905" s="11"/>
      <c r="J905" s="11"/>
      <c r="K905" s="11"/>
      <c r="L905" s="10"/>
    </row>
    <row r="906" spans="1:12" s="33" customFormat="1" ht="19.95" customHeight="1" x14ac:dyDescent="0.25">
      <c r="A906" s="17"/>
      <c r="B906" s="38" t="s">
        <v>34</v>
      </c>
      <c r="C906" s="40"/>
      <c r="D906" s="41"/>
      <c r="E906" s="42">
        <v>1</v>
      </c>
      <c r="F906" s="43"/>
      <c r="G906" s="23"/>
      <c r="H906" s="23"/>
      <c r="I906" s="23"/>
      <c r="J906" s="23"/>
      <c r="K906" s="23"/>
      <c r="L906" s="43"/>
    </row>
    <row r="907" spans="1:12" ht="19.95" customHeight="1" x14ac:dyDescent="0.35">
      <c r="B907" s="38" t="s">
        <v>35</v>
      </c>
      <c r="C907" s="40"/>
      <c r="D907" s="41">
        <v>1</v>
      </c>
      <c r="E907" s="42"/>
      <c r="F907" s="43"/>
      <c r="G907" s="23"/>
      <c r="H907" s="23"/>
      <c r="I907" s="23"/>
      <c r="J907" s="23"/>
      <c r="K907" s="23"/>
      <c r="L907" s="43"/>
    </row>
    <row r="908" spans="1:12" ht="19.95" customHeight="1" x14ac:dyDescent="0.35">
      <c r="B908" s="38" t="s">
        <v>36</v>
      </c>
      <c r="C908" s="40">
        <v>1</v>
      </c>
      <c r="D908" s="41"/>
      <c r="E908" s="42"/>
      <c r="F908" s="43"/>
      <c r="G908" s="23"/>
      <c r="H908" s="23"/>
      <c r="I908" s="23"/>
      <c r="J908" s="23"/>
      <c r="K908" s="23"/>
      <c r="L908" s="43"/>
    </row>
    <row r="909" spans="1:12" s="24" customFormat="1" ht="19.95" customHeight="1" x14ac:dyDescent="0.25">
      <c r="A909" s="16"/>
      <c r="B909" s="28"/>
      <c r="C909" s="16"/>
      <c r="D909" s="29"/>
      <c r="E909" s="30"/>
      <c r="F909" s="31"/>
      <c r="G909" s="32"/>
      <c r="H909" s="32"/>
      <c r="I909" s="32"/>
      <c r="J909" s="32"/>
      <c r="K909" s="32"/>
      <c r="L909" s="31"/>
    </row>
    <row r="910" spans="1:12" s="33" customFormat="1" ht="19.95" customHeight="1" x14ac:dyDescent="0.25">
      <c r="A910" s="13">
        <v>1</v>
      </c>
      <c r="B910" s="14" t="s">
        <v>325</v>
      </c>
      <c r="C910" s="7"/>
      <c r="D910" s="8"/>
      <c r="E910" s="9"/>
      <c r="F910" s="10"/>
      <c r="G910" s="11"/>
      <c r="H910" s="11"/>
      <c r="I910" s="11"/>
      <c r="J910" s="11"/>
      <c r="K910" s="11"/>
      <c r="L910" s="10"/>
    </row>
    <row r="911" spans="1:12" ht="19.95" customHeight="1" x14ac:dyDescent="0.35">
      <c r="A911" s="16"/>
      <c r="B911" s="14"/>
      <c r="C911" s="7"/>
      <c r="D911" s="8"/>
      <c r="E911" s="9"/>
      <c r="F911" s="10"/>
      <c r="G911" s="11"/>
      <c r="H911" s="11"/>
      <c r="I911" s="11"/>
      <c r="J911" s="11"/>
      <c r="K911" s="11"/>
      <c r="L911" s="10"/>
    </row>
    <row r="912" spans="1:12" ht="19.95" customHeight="1" x14ac:dyDescent="0.35">
      <c r="B912" s="38" t="s">
        <v>134</v>
      </c>
      <c r="C912" s="40">
        <v>2</v>
      </c>
      <c r="D912" s="41"/>
      <c r="E912" s="42"/>
      <c r="F912" s="43"/>
      <c r="G912" s="23"/>
      <c r="H912" s="23"/>
      <c r="I912" s="23"/>
      <c r="J912" s="23"/>
      <c r="K912" s="23"/>
      <c r="L912" s="43"/>
    </row>
    <row r="913" spans="1:12" s="24" customFormat="1" ht="19.95" customHeight="1" x14ac:dyDescent="0.25">
      <c r="A913" s="17"/>
      <c r="B913" s="38" t="s">
        <v>135</v>
      </c>
      <c r="C913" s="40">
        <v>2</v>
      </c>
      <c r="D913" s="41"/>
      <c r="E913" s="42"/>
      <c r="F913" s="43"/>
      <c r="G913" s="23"/>
      <c r="H913" s="23"/>
      <c r="I913" s="23"/>
      <c r="J913" s="23"/>
      <c r="K913" s="23"/>
      <c r="L913" s="43"/>
    </row>
    <row r="914" spans="1:12" s="33" customFormat="1" ht="19.95" customHeight="1" x14ac:dyDescent="0.25">
      <c r="A914" s="17"/>
      <c r="B914" s="38" t="s">
        <v>212</v>
      </c>
      <c r="C914" s="40">
        <v>2</v>
      </c>
      <c r="D914" s="41"/>
      <c r="E914" s="42"/>
      <c r="F914" s="43"/>
      <c r="G914" s="23"/>
      <c r="H914" s="23"/>
      <c r="I914" s="23"/>
      <c r="J914" s="23"/>
      <c r="K914" s="23"/>
      <c r="L914" s="43"/>
    </row>
    <row r="915" spans="1:12" ht="19.95" customHeight="1" x14ac:dyDescent="0.35">
      <c r="B915" s="38" t="s">
        <v>169</v>
      </c>
      <c r="C915" s="40"/>
      <c r="D915" s="41"/>
      <c r="E915" s="42"/>
      <c r="F915" s="43"/>
      <c r="G915" s="23">
        <v>1</v>
      </c>
      <c r="H915" s="23"/>
      <c r="I915" s="23"/>
      <c r="J915" s="23"/>
      <c r="K915" s="23"/>
      <c r="L915" s="43"/>
    </row>
    <row r="916" spans="1:12" ht="19.95" customHeight="1" x14ac:dyDescent="0.35">
      <c r="B916" s="38" t="s">
        <v>170</v>
      </c>
      <c r="C916" s="40"/>
      <c r="D916" s="41"/>
      <c r="E916" s="42"/>
      <c r="F916" s="43"/>
      <c r="G916" s="23">
        <v>1</v>
      </c>
      <c r="H916" s="23"/>
      <c r="I916" s="23"/>
      <c r="J916" s="23"/>
      <c r="K916" s="23"/>
      <c r="L916" s="43"/>
    </row>
    <row r="917" spans="1:12" s="24" customFormat="1" ht="19.95" customHeight="1" x14ac:dyDescent="0.25">
      <c r="A917" s="16"/>
      <c r="B917" s="28"/>
      <c r="C917" s="16"/>
      <c r="D917" s="29"/>
      <c r="E917" s="30"/>
      <c r="F917" s="31"/>
      <c r="G917" s="32"/>
      <c r="H917" s="32"/>
      <c r="I917" s="32"/>
      <c r="J917" s="32"/>
      <c r="K917" s="32"/>
      <c r="L917" s="31"/>
    </row>
    <row r="918" spans="1:12" s="33" customFormat="1" ht="19.95" customHeight="1" x14ac:dyDescent="0.25">
      <c r="A918" s="13">
        <v>8</v>
      </c>
      <c r="B918" s="14" t="s">
        <v>320</v>
      </c>
      <c r="C918" s="91"/>
      <c r="D918" s="92"/>
      <c r="E918" s="93"/>
      <c r="F918" s="89"/>
      <c r="G918" s="94"/>
      <c r="H918" s="76"/>
      <c r="I918" s="76"/>
      <c r="J918" s="76"/>
      <c r="K918" s="76"/>
      <c r="L918" s="89"/>
    </row>
    <row r="919" spans="1:12" s="33" customFormat="1" ht="19.95" customHeight="1" x14ac:dyDescent="0.35">
      <c r="A919" s="59"/>
      <c r="B919" s="66"/>
      <c r="C919" s="91"/>
      <c r="D919" s="92"/>
      <c r="E919" s="93"/>
      <c r="F919" s="89"/>
      <c r="G919" s="94"/>
      <c r="H919" s="76"/>
      <c r="I919" s="76"/>
      <c r="J919" s="76"/>
      <c r="K919" s="76"/>
      <c r="L919" s="89"/>
    </row>
    <row r="920" spans="1:12" s="33" customFormat="1" ht="19.95" customHeight="1" x14ac:dyDescent="0.25">
      <c r="A920" s="59"/>
      <c r="B920" s="38" t="s">
        <v>223</v>
      </c>
      <c r="C920" s="40"/>
      <c r="D920" s="41">
        <f>1*A918</f>
        <v>8</v>
      </c>
      <c r="E920" s="42"/>
      <c r="F920" s="43"/>
      <c r="G920" s="23"/>
      <c r="H920" s="23"/>
      <c r="I920" s="23"/>
      <c r="J920" s="23"/>
      <c r="K920" s="23"/>
      <c r="L920" s="43"/>
    </row>
    <row r="921" spans="1:12" s="33" customFormat="1" ht="19.95" customHeight="1" x14ac:dyDescent="0.25">
      <c r="A921" s="59"/>
      <c r="B921" s="38" t="s">
        <v>224</v>
      </c>
      <c r="C921" s="40">
        <f>1*A918</f>
        <v>8</v>
      </c>
      <c r="D921" s="41"/>
      <c r="E921" s="42"/>
      <c r="F921" s="43"/>
      <c r="G921" s="23"/>
      <c r="H921" s="23"/>
      <c r="I921" s="23"/>
      <c r="J921" s="23"/>
      <c r="K921" s="23"/>
      <c r="L921" s="43"/>
    </row>
    <row r="922" spans="1:12" s="33" customFormat="1" ht="19.95" customHeight="1" x14ac:dyDescent="0.25">
      <c r="A922" s="59"/>
      <c r="B922" s="38" t="s">
        <v>225</v>
      </c>
      <c r="C922" s="40">
        <f>1*A918</f>
        <v>8</v>
      </c>
      <c r="D922" s="41"/>
      <c r="E922" s="42"/>
      <c r="F922" s="43"/>
      <c r="G922" s="23"/>
      <c r="H922" s="23"/>
      <c r="I922" s="23"/>
      <c r="J922" s="23"/>
      <c r="K922" s="23"/>
      <c r="L922" s="43"/>
    </row>
    <row r="923" spans="1:12" ht="19.95" customHeight="1" x14ac:dyDescent="0.35">
      <c r="A923" s="59"/>
      <c r="B923" s="38" t="s">
        <v>226</v>
      </c>
      <c r="C923" s="40">
        <f>A918</f>
        <v>8</v>
      </c>
      <c r="D923" s="41"/>
      <c r="E923" s="42"/>
      <c r="F923" s="43"/>
      <c r="G923" s="23"/>
      <c r="H923" s="23"/>
      <c r="I923" s="23"/>
      <c r="J923" s="23"/>
      <c r="K923" s="23"/>
      <c r="L923" s="43"/>
    </row>
    <row r="924" spans="1:12" s="33" customFormat="1" ht="19.95" customHeight="1" x14ac:dyDescent="0.25">
      <c r="A924" s="59"/>
      <c r="B924" s="38"/>
      <c r="C924" s="40"/>
      <c r="D924" s="41"/>
      <c r="E924" s="42"/>
      <c r="F924" s="43"/>
      <c r="G924" s="23"/>
      <c r="H924" s="23"/>
      <c r="I924" s="23"/>
      <c r="J924" s="23"/>
      <c r="K924" s="23"/>
      <c r="L924" s="43"/>
    </row>
    <row r="925" spans="1:12" s="33" customFormat="1" ht="19.95" customHeight="1" x14ac:dyDescent="0.25">
      <c r="A925" s="13">
        <v>5</v>
      </c>
      <c r="B925" s="14" t="s">
        <v>321</v>
      </c>
      <c r="C925" s="38"/>
      <c r="D925" s="38"/>
      <c r="E925" s="38"/>
      <c r="F925" s="38"/>
      <c r="G925" s="38"/>
      <c r="H925" s="38"/>
      <c r="I925" s="38"/>
      <c r="J925" s="38"/>
      <c r="K925" s="38"/>
      <c r="L925" s="38"/>
    </row>
    <row r="926" spans="1:12" s="33" customFormat="1" ht="19.95" customHeight="1" x14ac:dyDescent="0.25">
      <c r="A926" s="59"/>
      <c r="B926" s="38" t="s">
        <v>41</v>
      </c>
      <c r="C926" s="40">
        <f>A925</f>
        <v>5</v>
      </c>
      <c r="D926" s="38"/>
      <c r="E926" s="38"/>
      <c r="F926" s="38"/>
      <c r="G926" s="23"/>
      <c r="H926" s="23"/>
      <c r="I926" s="23"/>
      <c r="J926" s="23"/>
      <c r="K926" s="23"/>
      <c r="L926" s="38"/>
    </row>
    <row r="927" spans="1:12" s="33" customFormat="1" ht="19.95" customHeight="1" x14ac:dyDescent="0.25">
      <c r="A927" s="16"/>
      <c r="B927" s="28"/>
      <c r="C927" s="16"/>
      <c r="D927" s="29"/>
      <c r="E927" s="30"/>
      <c r="F927" s="31"/>
      <c r="G927" s="32"/>
      <c r="H927" s="32"/>
      <c r="I927" s="32"/>
      <c r="J927" s="32"/>
      <c r="K927" s="32"/>
      <c r="L927" s="31"/>
    </row>
    <row r="928" spans="1:12" s="33" customFormat="1" ht="19.95" customHeight="1" x14ac:dyDescent="0.25">
      <c r="A928" s="44"/>
      <c r="B928" s="45" t="s">
        <v>10</v>
      </c>
      <c r="C928" s="46">
        <f>SUM(C894:C927)</f>
        <v>40</v>
      </c>
      <c r="D928" s="46">
        <f>SUM(D894:D924)</f>
        <v>9</v>
      </c>
      <c r="E928" s="46">
        <f>SUM(E894:E924)</f>
        <v>1</v>
      </c>
      <c r="F928" s="46">
        <f>SUM(F894:F924)</f>
        <v>0</v>
      </c>
      <c r="G928" s="46">
        <f>SUM(G894:G924)</f>
        <v>2</v>
      </c>
      <c r="H928" s="46"/>
      <c r="I928" s="46"/>
      <c r="J928" s="46"/>
      <c r="K928" s="46"/>
      <c r="L928" s="46"/>
    </row>
    <row r="929" spans="1:12" s="33" customFormat="1" ht="19.95" customHeight="1" x14ac:dyDescent="0.25">
      <c r="A929" s="74" t="s">
        <v>11</v>
      </c>
      <c r="B929" s="2" t="s">
        <v>1</v>
      </c>
      <c r="C929" s="90" t="s">
        <v>2</v>
      </c>
      <c r="D929" s="90"/>
      <c r="E929" s="90"/>
      <c r="F929" s="90"/>
      <c r="G929" s="90"/>
      <c r="H929" s="95"/>
      <c r="I929" s="95"/>
      <c r="J929" s="95"/>
      <c r="K929" s="95"/>
    </row>
    <row r="930" spans="1:12" s="33" customFormat="1" ht="120" customHeight="1" x14ac:dyDescent="0.25">
      <c r="A930" s="1"/>
      <c r="B930" s="6" t="s">
        <v>322</v>
      </c>
      <c r="C930" s="7" t="s">
        <v>4</v>
      </c>
      <c r="D930" s="8" t="s">
        <v>5</v>
      </c>
      <c r="E930" s="9" t="s">
        <v>6</v>
      </c>
      <c r="F930" s="10" t="s">
        <v>7</v>
      </c>
      <c r="G930" s="11" t="s">
        <v>8</v>
      </c>
      <c r="H930" s="11"/>
      <c r="I930" s="11"/>
      <c r="J930" s="11"/>
      <c r="K930" s="11"/>
      <c r="L930" s="10"/>
    </row>
    <row r="931" spans="1:12" s="33" customFormat="1" ht="19.95" customHeight="1" x14ac:dyDescent="0.25">
      <c r="A931" s="13">
        <v>1</v>
      </c>
      <c r="B931" s="14" t="s">
        <v>25</v>
      </c>
      <c r="C931" s="7"/>
      <c r="D931" s="8"/>
      <c r="E931" s="9"/>
      <c r="F931" s="10"/>
      <c r="G931" s="11"/>
      <c r="H931" s="11"/>
      <c r="I931" s="11"/>
      <c r="J931" s="11"/>
      <c r="K931" s="11"/>
      <c r="L931" s="10"/>
    </row>
    <row r="932" spans="1:12" s="33" customFormat="1" ht="19.95" customHeight="1" x14ac:dyDescent="0.25">
      <c r="A932" s="16"/>
      <c r="B932" s="14" t="s">
        <v>323</v>
      </c>
      <c r="C932" s="7"/>
      <c r="D932" s="8"/>
      <c r="E932" s="9"/>
      <c r="F932" s="10"/>
      <c r="G932" s="11"/>
      <c r="H932" s="11"/>
      <c r="I932" s="11"/>
      <c r="J932" s="11"/>
      <c r="K932" s="11"/>
      <c r="L932" s="10"/>
    </row>
    <row r="933" spans="1:12" s="33" customFormat="1" ht="19.95" customHeight="1" x14ac:dyDescent="0.25">
      <c r="A933" s="17"/>
      <c r="B933" s="38" t="s">
        <v>26</v>
      </c>
      <c r="C933" s="40">
        <v>1</v>
      </c>
      <c r="D933" s="41"/>
      <c r="E933" s="42"/>
      <c r="F933" s="43"/>
      <c r="G933" s="23"/>
      <c r="H933" s="23"/>
      <c r="I933" s="23"/>
      <c r="J933" s="23"/>
      <c r="K933" s="23"/>
      <c r="L933" s="43"/>
    </row>
    <row r="934" spans="1:12" s="33" customFormat="1" ht="19.95" customHeight="1" x14ac:dyDescent="0.25">
      <c r="A934" s="17"/>
      <c r="B934" s="38" t="s">
        <v>27</v>
      </c>
      <c r="C934" s="40">
        <v>1</v>
      </c>
      <c r="D934" s="41"/>
      <c r="E934" s="42"/>
      <c r="F934" s="43"/>
      <c r="G934" s="23"/>
      <c r="H934" s="23"/>
      <c r="I934" s="23"/>
      <c r="J934" s="23"/>
      <c r="K934" s="23"/>
      <c r="L934" s="43"/>
    </row>
    <row r="935" spans="1:12" s="33" customFormat="1" ht="19.95" customHeight="1" x14ac:dyDescent="0.25">
      <c r="A935" s="17"/>
      <c r="B935" s="38"/>
      <c r="C935" s="40"/>
      <c r="D935" s="41"/>
      <c r="E935" s="42"/>
      <c r="F935" s="43"/>
      <c r="G935" s="23"/>
      <c r="H935" s="23"/>
      <c r="I935" s="23"/>
      <c r="J935" s="23"/>
      <c r="K935" s="23"/>
      <c r="L935" s="43"/>
    </row>
    <row r="936" spans="1:12" s="33" customFormat="1" ht="19.95" customHeight="1" x14ac:dyDescent="0.25">
      <c r="A936" s="13">
        <v>1</v>
      </c>
      <c r="B936" s="14" t="s">
        <v>324</v>
      </c>
      <c r="C936" s="7"/>
      <c r="D936" s="8"/>
      <c r="E936" s="9"/>
      <c r="F936" s="10"/>
      <c r="G936" s="11"/>
      <c r="H936" s="11"/>
      <c r="I936" s="11"/>
      <c r="J936" s="11"/>
      <c r="K936" s="11"/>
      <c r="L936" s="10"/>
    </row>
    <row r="937" spans="1:12" s="33" customFormat="1" ht="19.95" customHeight="1" x14ac:dyDescent="0.25">
      <c r="A937" s="16"/>
      <c r="B937" s="14"/>
      <c r="C937" s="7"/>
      <c r="D937" s="8"/>
      <c r="E937" s="9"/>
      <c r="F937" s="10"/>
      <c r="G937" s="11"/>
      <c r="H937" s="11"/>
      <c r="I937" s="11"/>
      <c r="J937" s="11"/>
      <c r="K937" s="11"/>
      <c r="L937" s="10"/>
    </row>
    <row r="938" spans="1:12" s="33" customFormat="1" ht="19.95" customHeight="1" x14ac:dyDescent="0.25">
      <c r="A938" s="17"/>
      <c r="B938" s="38" t="s">
        <v>168</v>
      </c>
      <c r="C938" s="40">
        <v>2</v>
      </c>
      <c r="D938" s="41"/>
      <c r="E938" s="42"/>
      <c r="F938" s="43"/>
      <c r="G938" s="23"/>
      <c r="H938" s="23"/>
      <c r="I938" s="23"/>
      <c r="J938" s="23"/>
      <c r="K938" s="23"/>
      <c r="L938" s="43"/>
    </row>
    <row r="939" spans="1:12" s="33" customFormat="1" ht="19.95" customHeight="1" x14ac:dyDescent="0.25">
      <c r="A939" s="17"/>
      <c r="B939" s="38" t="s">
        <v>135</v>
      </c>
      <c r="C939" s="40">
        <v>2</v>
      </c>
      <c r="D939" s="41"/>
      <c r="E939" s="42"/>
      <c r="F939" s="43"/>
      <c r="G939" s="23"/>
      <c r="H939" s="23"/>
      <c r="I939" s="23"/>
      <c r="J939" s="23"/>
      <c r="K939" s="23"/>
      <c r="L939" s="43"/>
    </row>
    <row r="940" spans="1:12" s="33" customFormat="1" ht="19.95" customHeight="1" x14ac:dyDescent="0.25">
      <c r="A940" s="17"/>
      <c r="B940" s="38" t="s">
        <v>149</v>
      </c>
      <c r="C940" s="40">
        <v>2</v>
      </c>
      <c r="D940" s="41"/>
      <c r="E940" s="42"/>
      <c r="F940" s="43"/>
      <c r="G940" s="23"/>
      <c r="H940" s="23"/>
      <c r="I940" s="23"/>
      <c r="J940" s="23"/>
      <c r="K940" s="23"/>
      <c r="L940" s="43"/>
    </row>
    <row r="941" spans="1:12" s="33" customFormat="1" ht="19.95" customHeight="1" x14ac:dyDescent="0.25">
      <c r="A941" s="17"/>
      <c r="B941" s="38" t="s">
        <v>169</v>
      </c>
      <c r="C941" s="40"/>
      <c r="D941" s="41"/>
      <c r="E941" s="42"/>
      <c r="F941" s="43"/>
      <c r="G941" s="23">
        <v>1</v>
      </c>
      <c r="H941" s="23"/>
      <c r="I941" s="23"/>
      <c r="J941" s="23"/>
      <c r="K941" s="23"/>
      <c r="L941" s="43"/>
    </row>
    <row r="942" spans="1:12" s="33" customFormat="1" ht="19.95" customHeight="1" x14ac:dyDescent="0.25">
      <c r="A942" s="17"/>
      <c r="B942" s="38" t="s">
        <v>170</v>
      </c>
      <c r="C942" s="40"/>
      <c r="D942" s="41"/>
      <c r="E942" s="42"/>
      <c r="F942" s="43"/>
      <c r="G942" s="23">
        <v>1</v>
      </c>
      <c r="H942" s="23"/>
      <c r="I942" s="23"/>
      <c r="J942" s="23"/>
      <c r="K942" s="23"/>
      <c r="L942" s="43"/>
    </row>
    <row r="943" spans="1:12" s="33" customFormat="1" ht="19.95" customHeight="1" x14ac:dyDescent="0.25">
      <c r="A943" s="16"/>
      <c r="B943" s="28"/>
      <c r="C943" s="16"/>
      <c r="D943" s="29"/>
      <c r="E943" s="30"/>
      <c r="F943" s="31"/>
      <c r="G943" s="32"/>
      <c r="H943" s="32"/>
      <c r="I943" s="32"/>
      <c r="J943" s="32"/>
      <c r="K943" s="32"/>
      <c r="L943" s="31"/>
    </row>
    <row r="944" spans="1:12" s="33" customFormat="1" ht="19.95" customHeight="1" x14ac:dyDescent="0.25">
      <c r="A944" s="13">
        <v>18</v>
      </c>
      <c r="B944" s="14" t="s">
        <v>326</v>
      </c>
      <c r="C944" s="91"/>
      <c r="D944" s="92"/>
      <c r="E944" s="93"/>
      <c r="F944" s="89"/>
      <c r="G944" s="94"/>
      <c r="H944" s="76"/>
      <c r="I944" s="76"/>
      <c r="J944" s="76"/>
      <c r="K944" s="76"/>
      <c r="L944" s="89"/>
    </row>
    <row r="945" spans="1:12" s="33" customFormat="1" ht="19.95" customHeight="1" x14ac:dyDescent="0.35">
      <c r="A945" s="59"/>
      <c r="B945" s="66"/>
      <c r="C945" s="91"/>
      <c r="D945" s="92"/>
      <c r="E945" s="93"/>
      <c r="F945" s="89"/>
      <c r="G945" s="94"/>
      <c r="H945" s="76"/>
      <c r="I945" s="76"/>
      <c r="J945" s="76"/>
      <c r="K945" s="76"/>
      <c r="L945" s="89"/>
    </row>
    <row r="946" spans="1:12" s="33" customFormat="1" ht="19.95" customHeight="1" x14ac:dyDescent="0.25">
      <c r="A946" s="59"/>
      <c r="B946" s="38" t="s">
        <v>223</v>
      </c>
      <c r="C946" s="40"/>
      <c r="D946" s="41">
        <f>1*A944</f>
        <v>18</v>
      </c>
      <c r="E946" s="42"/>
      <c r="F946" s="43"/>
      <c r="G946" s="23"/>
      <c r="H946" s="23"/>
      <c r="I946" s="23"/>
      <c r="J946" s="23"/>
      <c r="K946" s="23"/>
      <c r="L946" s="43"/>
    </row>
    <row r="947" spans="1:12" s="33" customFormat="1" ht="19.95" customHeight="1" x14ac:dyDescent="0.25">
      <c r="A947" s="59"/>
      <c r="B947" s="38" t="s">
        <v>224</v>
      </c>
      <c r="C947" s="40">
        <f>1*A944</f>
        <v>18</v>
      </c>
      <c r="D947" s="41"/>
      <c r="E947" s="42"/>
      <c r="F947" s="43"/>
      <c r="G947" s="23"/>
      <c r="H947" s="23"/>
      <c r="I947" s="23"/>
      <c r="J947" s="23"/>
      <c r="K947" s="23"/>
      <c r="L947" s="43"/>
    </row>
    <row r="948" spans="1:12" s="33" customFormat="1" ht="19.95" customHeight="1" x14ac:dyDescent="0.25">
      <c r="A948" s="59"/>
      <c r="B948" s="38" t="s">
        <v>225</v>
      </c>
      <c r="C948" s="40">
        <f>1*A944</f>
        <v>18</v>
      </c>
      <c r="D948" s="41"/>
      <c r="E948" s="42"/>
      <c r="F948" s="43"/>
      <c r="G948" s="23"/>
      <c r="H948" s="23"/>
      <c r="I948" s="23"/>
      <c r="J948" s="23"/>
      <c r="K948" s="23"/>
      <c r="L948" s="43"/>
    </row>
    <row r="949" spans="1:12" s="33" customFormat="1" ht="19.95" customHeight="1" x14ac:dyDescent="0.25">
      <c r="A949" s="59"/>
      <c r="B949" s="38" t="s">
        <v>226</v>
      </c>
      <c r="C949" s="40">
        <f>A944</f>
        <v>18</v>
      </c>
      <c r="D949" s="41"/>
      <c r="E949" s="42"/>
      <c r="F949" s="43"/>
      <c r="G949" s="23"/>
      <c r="H949" s="23"/>
      <c r="I949" s="23"/>
      <c r="J949" s="23"/>
      <c r="K949" s="23"/>
      <c r="L949" s="43"/>
    </row>
    <row r="950" spans="1:12" s="33" customFormat="1" ht="19.95" customHeight="1" x14ac:dyDescent="0.25">
      <c r="A950" s="59"/>
      <c r="B950" s="38"/>
      <c r="C950" s="40"/>
      <c r="D950" s="41"/>
      <c r="E950" s="42"/>
      <c r="F950" s="43"/>
      <c r="G950" s="23"/>
      <c r="H950" s="23"/>
      <c r="I950" s="23"/>
      <c r="J950" s="23"/>
      <c r="K950" s="23"/>
      <c r="L950" s="43"/>
    </row>
    <row r="951" spans="1:12" s="33" customFormat="1" ht="19.95" customHeight="1" x14ac:dyDescent="0.25">
      <c r="A951" s="44"/>
      <c r="B951" s="45" t="s">
        <v>10</v>
      </c>
      <c r="C951" s="46">
        <f>SUM(C931:C950)</f>
        <v>62</v>
      </c>
      <c r="D951" s="46">
        <f>SUM(D931:D950)</f>
        <v>18</v>
      </c>
      <c r="E951" s="46">
        <f>SUM(E931:E950)</f>
        <v>0</v>
      </c>
      <c r="F951" s="46">
        <f>SUM(F931:F950)</f>
        <v>0</v>
      </c>
      <c r="G951" s="46">
        <f>SUM(G931:G950)</f>
        <v>2</v>
      </c>
      <c r="H951" s="46"/>
      <c r="I951" s="46"/>
      <c r="J951" s="46"/>
      <c r="K951" s="46"/>
      <c r="L951" s="46"/>
    </row>
    <row r="952" spans="1:12" s="33" customFormat="1" ht="19.95" customHeight="1" x14ac:dyDescent="0.25">
      <c r="A952" s="16"/>
      <c r="B952" s="28"/>
      <c r="C952" s="49"/>
      <c r="D952" s="49"/>
      <c r="E952" s="50"/>
      <c r="F952" s="49"/>
      <c r="G952" s="49"/>
      <c r="H952" s="49"/>
      <c r="I952" s="49"/>
      <c r="J952" s="49"/>
      <c r="K952" s="49"/>
      <c r="L952" s="49"/>
    </row>
    <row r="953" spans="1:12" s="33" customFormat="1" ht="19.95" customHeight="1" x14ac:dyDescent="0.25">
      <c r="A953" s="36" t="s">
        <v>11</v>
      </c>
      <c r="B953" s="2" t="s">
        <v>1</v>
      </c>
      <c r="C953" s="90" t="s">
        <v>2</v>
      </c>
      <c r="D953" s="90"/>
      <c r="E953" s="90"/>
      <c r="F953" s="90"/>
      <c r="G953" s="90"/>
      <c r="H953" s="95"/>
      <c r="I953" s="95"/>
      <c r="J953" s="95"/>
      <c r="K953" s="95"/>
    </row>
    <row r="954" spans="1:12" s="33" customFormat="1" ht="94.2" customHeight="1" x14ac:dyDescent="0.25">
      <c r="A954" s="1"/>
      <c r="B954" s="6" t="s">
        <v>227</v>
      </c>
      <c r="C954" s="7" t="s">
        <v>4</v>
      </c>
      <c r="D954" s="8" t="s">
        <v>5</v>
      </c>
      <c r="E954" s="9" t="s">
        <v>6</v>
      </c>
      <c r="F954" s="10" t="s">
        <v>7</v>
      </c>
      <c r="G954" s="11" t="s">
        <v>8</v>
      </c>
      <c r="H954" s="11"/>
      <c r="I954" s="11"/>
      <c r="J954" s="11"/>
      <c r="K954" s="11"/>
      <c r="L954" s="10"/>
    </row>
    <row r="955" spans="1:12" s="33" customFormat="1" ht="19.95" customHeight="1" x14ac:dyDescent="0.25">
      <c r="A955" s="13">
        <v>17</v>
      </c>
      <c r="B955" s="14" t="s">
        <v>329</v>
      </c>
      <c r="C955" s="91"/>
      <c r="D955" s="92"/>
      <c r="E955" s="93"/>
      <c r="F955" s="89"/>
      <c r="G955" s="94"/>
      <c r="H955" s="76"/>
      <c r="I955" s="76"/>
      <c r="J955" s="76"/>
      <c r="K955" s="76"/>
      <c r="L955" s="89"/>
    </row>
    <row r="956" spans="1:12" s="33" customFormat="1" ht="19.95" customHeight="1" x14ac:dyDescent="0.35">
      <c r="A956" s="59"/>
      <c r="B956" s="66"/>
      <c r="C956" s="91"/>
      <c r="D956" s="92"/>
      <c r="E956" s="93"/>
      <c r="F956" s="89"/>
      <c r="G956" s="94"/>
      <c r="H956" s="76"/>
      <c r="I956" s="76"/>
      <c r="J956" s="76"/>
      <c r="K956" s="76"/>
      <c r="L956" s="89"/>
    </row>
    <row r="957" spans="1:12" s="33" customFormat="1" ht="19.95" customHeight="1" x14ac:dyDescent="0.25">
      <c r="A957" s="59"/>
      <c r="B957" s="38" t="s">
        <v>223</v>
      </c>
      <c r="C957" s="40"/>
      <c r="D957" s="20">
        <f>A955*1</f>
        <v>17</v>
      </c>
      <c r="E957" s="42"/>
      <c r="F957" s="43"/>
      <c r="G957" s="23"/>
      <c r="H957" s="23"/>
      <c r="I957" s="23"/>
      <c r="J957" s="23"/>
      <c r="K957" s="23"/>
      <c r="L957" s="43"/>
    </row>
    <row r="958" spans="1:12" s="33" customFormat="1" ht="19.95" customHeight="1" x14ac:dyDescent="0.25">
      <c r="A958" s="59"/>
      <c r="B958" s="38" t="s">
        <v>224</v>
      </c>
      <c r="C958" s="40">
        <f>D957</f>
        <v>17</v>
      </c>
      <c r="D958" s="41"/>
      <c r="E958" s="42"/>
      <c r="F958" s="43"/>
      <c r="G958" s="23"/>
      <c r="H958" s="23"/>
      <c r="I958" s="23"/>
      <c r="J958" s="23"/>
      <c r="K958" s="23"/>
      <c r="L958" s="43"/>
    </row>
    <row r="959" spans="1:12" s="33" customFormat="1" ht="19.95" customHeight="1" x14ac:dyDescent="0.25">
      <c r="A959" s="59"/>
      <c r="B959" s="38" t="s">
        <v>225</v>
      </c>
      <c r="C959" s="40">
        <f>D957</f>
        <v>17</v>
      </c>
      <c r="D959" s="41"/>
      <c r="E959" s="42"/>
      <c r="F959" s="43"/>
      <c r="G959" s="23"/>
      <c r="H959" s="23"/>
      <c r="I959" s="23"/>
      <c r="J959" s="23"/>
      <c r="K959" s="23"/>
      <c r="L959" s="43"/>
    </row>
    <row r="960" spans="1:12" s="33" customFormat="1" ht="19.95" customHeight="1" x14ac:dyDescent="0.25">
      <c r="A960" s="59"/>
      <c r="B960" s="38" t="s">
        <v>226</v>
      </c>
      <c r="C960" s="40">
        <f>A955</f>
        <v>17</v>
      </c>
      <c r="D960" s="41"/>
      <c r="E960" s="42"/>
      <c r="F960" s="43"/>
      <c r="G960" s="23"/>
      <c r="H960" s="23"/>
      <c r="I960" s="23"/>
      <c r="J960" s="23"/>
      <c r="K960" s="23"/>
      <c r="L960" s="43"/>
    </row>
    <row r="961" spans="1:12" s="24" customFormat="1" ht="19.95" customHeight="1" x14ac:dyDescent="0.25">
      <c r="A961" s="59"/>
      <c r="B961" s="38"/>
      <c r="C961" s="40"/>
      <c r="D961" s="41"/>
      <c r="E961" s="42"/>
      <c r="F961" s="43"/>
      <c r="G961" s="23"/>
      <c r="H961" s="23"/>
      <c r="I961" s="23"/>
      <c r="J961" s="23"/>
      <c r="K961" s="23"/>
      <c r="L961" s="43"/>
    </row>
    <row r="962" spans="1:12" s="24" customFormat="1" ht="19.95" customHeight="1" x14ac:dyDescent="0.25">
      <c r="A962" s="44"/>
      <c r="B962" s="45" t="s">
        <v>10</v>
      </c>
      <c r="C962" s="46">
        <f>SUM(C955:C960)</f>
        <v>51</v>
      </c>
      <c r="D962" s="46">
        <f>SUM(D955:D960)</f>
        <v>17</v>
      </c>
      <c r="E962" s="46">
        <f>SUM(E955:E960)</f>
        <v>0</v>
      </c>
      <c r="F962" s="46">
        <f>SUM(F955:F960)</f>
        <v>0</v>
      </c>
      <c r="G962" s="46">
        <f>SUM(G955:G960)</f>
        <v>0</v>
      </c>
      <c r="H962" s="46"/>
      <c r="I962" s="46"/>
      <c r="J962" s="46"/>
      <c r="K962" s="46"/>
      <c r="L962" s="46"/>
    </row>
    <row r="963" spans="1:12" s="24" customFormat="1" ht="19.95" customHeight="1" x14ac:dyDescent="0.25">
      <c r="A963" s="47"/>
      <c r="B963" s="48"/>
      <c r="C963" s="40"/>
      <c r="D963" s="40"/>
      <c r="E963" s="40"/>
      <c r="F963" s="40"/>
      <c r="G963" s="40"/>
      <c r="H963" s="40"/>
      <c r="I963" s="40"/>
      <c r="J963" s="40"/>
      <c r="K963" s="40"/>
      <c r="L963" s="40"/>
    </row>
    <row r="964" spans="1:12" ht="37.200000000000003" customHeight="1" x14ac:dyDescent="0.35">
      <c r="A964" s="74" t="s">
        <v>11</v>
      </c>
      <c r="B964" s="2" t="s">
        <v>1</v>
      </c>
      <c r="C964" s="90" t="s">
        <v>2</v>
      </c>
      <c r="D964" s="90"/>
      <c r="E964" s="90"/>
      <c r="F964" s="90"/>
      <c r="G964" s="90"/>
      <c r="H964" s="95"/>
      <c r="I964" s="95"/>
      <c r="J964" s="95"/>
      <c r="K964" s="95"/>
      <c r="L964" s="15"/>
    </row>
    <row r="965" spans="1:12" ht="55.2" customHeight="1" x14ac:dyDescent="0.35">
      <c r="A965" s="1"/>
      <c r="B965" s="6" t="s">
        <v>327</v>
      </c>
      <c r="C965" s="7" t="s">
        <v>4</v>
      </c>
      <c r="D965" s="8" t="s">
        <v>5</v>
      </c>
      <c r="E965" s="9" t="s">
        <v>6</v>
      </c>
      <c r="F965" s="10" t="s">
        <v>7</v>
      </c>
      <c r="G965" s="11" t="s">
        <v>8</v>
      </c>
      <c r="H965" s="11"/>
      <c r="I965" s="11"/>
      <c r="J965" s="11"/>
      <c r="K965" s="11"/>
      <c r="L965" s="10"/>
    </row>
    <row r="966" spans="1:12" ht="19.95" customHeight="1" x14ac:dyDescent="0.35">
      <c r="A966" s="13">
        <v>9</v>
      </c>
      <c r="B966" s="14" t="s">
        <v>328</v>
      </c>
      <c r="C966" s="91"/>
      <c r="D966" s="92"/>
      <c r="E966" s="93"/>
      <c r="F966" s="89"/>
      <c r="G966" s="94"/>
      <c r="H966" s="76"/>
      <c r="I966" s="76"/>
      <c r="J966" s="76"/>
      <c r="K966" s="76"/>
      <c r="L966" s="89"/>
    </row>
    <row r="967" spans="1:12" ht="19.95" customHeight="1" x14ac:dyDescent="0.35">
      <c r="A967" s="59"/>
      <c r="B967" s="66"/>
      <c r="C967" s="91"/>
      <c r="D967" s="92"/>
      <c r="E967" s="93"/>
      <c r="F967" s="89"/>
      <c r="G967" s="94"/>
      <c r="H967" s="76"/>
      <c r="I967" s="76"/>
      <c r="J967" s="76"/>
      <c r="K967" s="76"/>
      <c r="L967" s="89"/>
    </row>
    <row r="968" spans="1:12" ht="19.95" customHeight="1" x14ac:dyDescent="0.35">
      <c r="A968" s="59"/>
      <c r="B968" s="38" t="s">
        <v>223</v>
      </c>
      <c r="C968" s="40"/>
      <c r="D968" s="20">
        <f>A966*1</f>
        <v>9</v>
      </c>
      <c r="E968" s="42"/>
      <c r="F968" s="43"/>
      <c r="G968" s="23"/>
      <c r="H968" s="23"/>
      <c r="I968" s="23"/>
      <c r="J968" s="23"/>
      <c r="K968" s="23"/>
      <c r="L968" s="43"/>
    </row>
    <row r="969" spans="1:12" ht="19.95" customHeight="1" x14ac:dyDescent="0.35">
      <c r="A969" s="59"/>
      <c r="B969" s="38" t="s">
        <v>224</v>
      </c>
      <c r="C969" s="40">
        <f>D968</f>
        <v>9</v>
      </c>
      <c r="D969" s="41"/>
      <c r="E969" s="42"/>
      <c r="F969" s="43"/>
      <c r="G969" s="23"/>
      <c r="H969" s="23"/>
      <c r="I969" s="23"/>
      <c r="J969" s="23"/>
      <c r="K969" s="23"/>
      <c r="L969" s="43"/>
    </row>
    <row r="970" spans="1:12" ht="19.95" customHeight="1" x14ac:dyDescent="0.35">
      <c r="A970" s="59"/>
      <c r="B970" s="38" t="s">
        <v>225</v>
      </c>
      <c r="C970" s="40">
        <f>D968</f>
        <v>9</v>
      </c>
      <c r="D970" s="41"/>
      <c r="E970" s="42"/>
      <c r="F970" s="43"/>
      <c r="G970" s="23"/>
      <c r="H970" s="23"/>
      <c r="I970" s="23"/>
      <c r="J970" s="23"/>
      <c r="K970" s="23"/>
      <c r="L970" s="43"/>
    </row>
    <row r="971" spans="1:12" ht="19.95" customHeight="1" x14ac:dyDescent="0.35">
      <c r="A971" s="59"/>
      <c r="B971" s="38" t="s">
        <v>226</v>
      </c>
      <c r="C971" s="40">
        <f>A966</f>
        <v>9</v>
      </c>
      <c r="D971" s="41"/>
      <c r="E971" s="42"/>
      <c r="F971" s="43"/>
      <c r="G971" s="23"/>
      <c r="H971" s="23"/>
      <c r="I971" s="23"/>
      <c r="J971" s="23"/>
      <c r="K971" s="23"/>
      <c r="L971" s="43"/>
    </row>
    <row r="972" spans="1:12" ht="19.95" customHeight="1" x14ac:dyDescent="0.35">
      <c r="A972" s="59"/>
      <c r="C972" s="40"/>
      <c r="D972" s="41"/>
      <c r="E972" s="42"/>
      <c r="F972" s="43"/>
      <c r="G972" s="23"/>
      <c r="H972" s="23"/>
      <c r="I972" s="23"/>
      <c r="J972" s="23"/>
      <c r="K972" s="23"/>
      <c r="L972" s="43"/>
    </row>
    <row r="973" spans="1:12" ht="19.95" customHeight="1" x14ac:dyDescent="0.35">
      <c r="A973" s="44"/>
      <c r="B973" s="45" t="s">
        <v>10</v>
      </c>
      <c r="C973" s="46">
        <f>SUM(C966:C971)</f>
        <v>27</v>
      </c>
      <c r="D973" s="46">
        <f>SUM(D966:D971)</f>
        <v>9</v>
      </c>
      <c r="E973" s="46">
        <f>SUM(E966:E971)</f>
        <v>0</v>
      </c>
      <c r="F973" s="46">
        <f>SUM(F966:F971)</f>
        <v>0</v>
      </c>
      <c r="G973" s="46">
        <f>SUM(G966:G971)</f>
        <v>0</v>
      </c>
      <c r="H973" s="46"/>
      <c r="I973" s="46"/>
      <c r="J973" s="46"/>
      <c r="K973" s="46"/>
      <c r="L973" s="46"/>
    </row>
    <row r="974" spans="1:12" ht="19.95" customHeight="1" x14ac:dyDescent="0.35">
      <c r="A974" s="49"/>
      <c r="B974" s="67"/>
      <c r="C974" s="49"/>
      <c r="D974" s="49"/>
      <c r="E974" s="50"/>
      <c r="F974" s="49"/>
      <c r="G974" s="49"/>
      <c r="H974" s="49"/>
      <c r="I974" s="49"/>
      <c r="J974" s="49"/>
      <c r="K974" s="49"/>
      <c r="L974" s="49"/>
    </row>
    <row r="975" spans="1:12" s="24" customFormat="1" ht="19.95" customHeight="1" x14ac:dyDescent="0.25">
      <c r="A975" s="36" t="s">
        <v>11</v>
      </c>
      <c r="B975" s="2" t="s">
        <v>1</v>
      </c>
      <c r="C975" s="90" t="s">
        <v>2</v>
      </c>
      <c r="D975" s="90"/>
      <c r="E975" s="90"/>
      <c r="F975" s="90"/>
      <c r="G975" s="90"/>
      <c r="H975" s="95"/>
      <c r="I975" s="95"/>
      <c r="J975" s="95"/>
      <c r="K975" s="95"/>
    </row>
    <row r="976" spans="1:12" s="33" customFormat="1" ht="39.6" customHeight="1" x14ac:dyDescent="0.25">
      <c r="A976" s="1"/>
      <c r="B976" s="6" t="s">
        <v>228</v>
      </c>
      <c r="C976" s="7" t="s">
        <v>4</v>
      </c>
      <c r="D976" s="8" t="s">
        <v>5</v>
      </c>
      <c r="E976" s="9" t="s">
        <v>6</v>
      </c>
      <c r="F976" s="10" t="s">
        <v>7</v>
      </c>
      <c r="G976" s="11" t="s">
        <v>8</v>
      </c>
      <c r="H976" s="11"/>
      <c r="I976" s="11"/>
      <c r="J976" s="11"/>
      <c r="K976" s="11"/>
      <c r="L976" s="10"/>
    </row>
    <row r="977" spans="1:12" s="33" customFormat="1" ht="19.95" customHeight="1" x14ac:dyDescent="0.25">
      <c r="A977" s="13">
        <v>1</v>
      </c>
      <c r="B977" s="14" t="s">
        <v>229</v>
      </c>
      <c r="C977" s="7"/>
      <c r="D977" s="8"/>
      <c r="E977" s="9"/>
      <c r="F977" s="10"/>
      <c r="G977" s="11"/>
      <c r="H977" s="11"/>
      <c r="I977" s="11"/>
      <c r="J977" s="11"/>
      <c r="K977" s="11"/>
      <c r="L977" s="10"/>
    </row>
    <row r="978" spans="1:12" s="24" customFormat="1" ht="19.95" customHeight="1" x14ac:dyDescent="0.25">
      <c r="A978" s="16"/>
      <c r="B978" s="14"/>
      <c r="C978" s="7"/>
      <c r="D978" s="8"/>
      <c r="E978" s="9"/>
      <c r="F978" s="10"/>
      <c r="G978" s="11"/>
      <c r="H978" s="11"/>
      <c r="I978" s="11"/>
      <c r="J978" s="11"/>
      <c r="K978" s="11"/>
      <c r="L978" s="10"/>
    </row>
    <row r="979" spans="1:12" s="24" customFormat="1" ht="19.95" customHeight="1" x14ac:dyDescent="0.25">
      <c r="A979" s="17"/>
      <c r="B979" s="38" t="s">
        <v>247</v>
      </c>
      <c r="C979" s="40"/>
      <c r="D979" s="41"/>
      <c r="E979" s="42"/>
      <c r="F979" s="43"/>
      <c r="G979" s="23">
        <v>50</v>
      </c>
      <c r="H979" s="23"/>
      <c r="I979" s="23"/>
      <c r="J979" s="23"/>
      <c r="K979" s="23"/>
      <c r="L979" s="43"/>
    </row>
    <row r="980" spans="1:12" s="12" customFormat="1" ht="19.2" customHeight="1" x14ac:dyDescent="0.3">
      <c r="A980" s="16"/>
      <c r="B980" s="28"/>
      <c r="C980" s="16"/>
      <c r="D980" s="29"/>
      <c r="E980" s="30"/>
      <c r="F980" s="31"/>
      <c r="G980" s="32"/>
      <c r="H980" s="32"/>
      <c r="I980" s="32"/>
      <c r="J980" s="32"/>
      <c r="K980" s="32"/>
      <c r="L980" s="31"/>
    </row>
    <row r="981" spans="1:12" s="12" customFormat="1" ht="19.2" customHeight="1" x14ac:dyDescent="0.3">
      <c r="A981" s="13">
        <v>1</v>
      </c>
      <c r="B981" s="14" t="s">
        <v>230</v>
      </c>
      <c r="C981" s="7"/>
      <c r="D981" s="8"/>
      <c r="E981" s="9"/>
      <c r="F981" s="10"/>
      <c r="G981" s="11"/>
      <c r="H981" s="11"/>
      <c r="I981" s="11"/>
      <c r="J981" s="11"/>
      <c r="K981" s="11"/>
      <c r="L981" s="10"/>
    </row>
    <row r="982" spans="1:12" s="12" customFormat="1" ht="19.2" customHeight="1" x14ac:dyDescent="0.3">
      <c r="A982" s="16"/>
      <c r="B982" s="14"/>
      <c r="C982" s="7"/>
      <c r="D982" s="8"/>
      <c r="E982" s="9"/>
      <c r="F982" s="10"/>
      <c r="G982" s="11"/>
      <c r="H982" s="11"/>
      <c r="I982" s="11"/>
      <c r="J982" s="11"/>
      <c r="K982" s="11"/>
      <c r="L982" s="10"/>
    </row>
    <row r="983" spans="1:12" s="12" customFormat="1" ht="19.2" customHeight="1" x14ac:dyDescent="0.3">
      <c r="A983" s="17"/>
      <c r="B983" s="38" t="s">
        <v>247</v>
      </c>
      <c r="C983" s="40"/>
      <c r="D983" s="41"/>
      <c r="E983" s="42"/>
      <c r="F983" s="43"/>
      <c r="G983" s="23">
        <v>10</v>
      </c>
      <c r="H983" s="23"/>
      <c r="I983" s="23"/>
      <c r="J983" s="23"/>
      <c r="K983" s="23"/>
      <c r="L983" s="43"/>
    </row>
    <row r="984" spans="1:12" s="12" customFormat="1" ht="19.2" customHeight="1" x14ac:dyDescent="0.3">
      <c r="A984" s="16"/>
      <c r="B984" s="28"/>
      <c r="C984" s="16"/>
      <c r="D984" s="29"/>
      <c r="E984" s="30"/>
      <c r="F984" s="31"/>
      <c r="G984" s="32"/>
      <c r="H984" s="32"/>
      <c r="I984" s="32"/>
      <c r="J984" s="32"/>
      <c r="K984" s="32"/>
      <c r="L984" s="31"/>
    </row>
    <row r="985" spans="1:12" s="12" customFormat="1" ht="19.2" customHeight="1" x14ac:dyDescent="0.3">
      <c r="A985" s="68">
        <v>402</v>
      </c>
      <c r="B985" s="14" t="s">
        <v>231</v>
      </c>
      <c r="C985" s="7"/>
      <c r="D985" s="8"/>
      <c r="E985" s="9"/>
      <c r="F985" s="10"/>
      <c r="G985" s="11"/>
      <c r="H985" s="11"/>
      <c r="I985" s="11"/>
      <c r="J985" s="11"/>
      <c r="K985" s="11"/>
      <c r="L985" s="10"/>
    </row>
    <row r="986" spans="1:12" ht="19.95" customHeight="1" x14ac:dyDescent="0.35">
      <c r="A986" s="16"/>
      <c r="B986" s="14"/>
      <c r="C986" s="7"/>
      <c r="D986" s="8"/>
      <c r="E986" s="9"/>
      <c r="F986" s="10"/>
      <c r="G986" s="11"/>
      <c r="H986" s="11"/>
      <c r="I986" s="11"/>
      <c r="J986" s="11"/>
      <c r="K986" s="11"/>
      <c r="L986" s="10"/>
    </row>
    <row r="987" spans="1:12" s="24" customFormat="1" ht="19.95" customHeight="1" x14ac:dyDescent="0.25">
      <c r="A987" s="17"/>
      <c r="B987" s="38" t="s">
        <v>242</v>
      </c>
      <c r="C987" s="40"/>
      <c r="D987" s="41"/>
      <c r="E987" s="42"/>
      <c r="F987" s="43"/>
      <c r="G987" s="23">
        <f>7*402</f>
        <v>2814</v>
      </c>
      <c r="H987" s="23"/>
      <c r="I987" s="23"/>
      <c r="J987" s="23"/>
      <c r="K987" s="23"/>
      <c r="L987" s="43"/>
    </row>
    <row r="988" spans="1:12" x14ac:dyDescent="0.35">
      <c r="A988" s="16"/>
      <c r="B988" s="28"/>
      <c r="C988" s="16"/>
      <c r="D988" s="29"/>
      <c r="E988" s="30"/>
      <c r="F988" s="31"/>
      <c r="G988" s="32"/>
      <c r="H988" s="32"/>
      <c r="I988" s="32"/>
      <c r="J988" s="32"/>
      <c r="K988" s="32"/>
      <c r="L988" s="31"/>
    </row>
    <row r="989" spans="1:12" x14ac:dyDescent="0.35">
      <c r="A989" s="13">
        <v>2</v>
      </c>
      <c r="B989" s="14" t="s">
        <v>232</v>
      </c>
      <c r="C989" s="7"/>
      <c r="D989" s="8"/>
      <c r="E989" s="9"/>
      <c r="F989" s="10"/>
      <c r="G989" s="11"/>
      <c r="H989" s="11"/>
      <c r="I989" s="11"/>
      <c r="J989" s="11"/>
      <c r="K989" s="11"/>
      <c r="L989" s="10"/>
    </row>
    <row r="990" spans="1:12" x14ac:dyDescent="0.35">
      <c r="A990" s="16"/>
      <c r="B990" s="14" t="s">
        <v>247</v>
      </c>
      <c r="C990" s="7"/>
      <c r="D990" s="8"/>
      <c r="E990" s="9"/>
      <c r="F990" s="10"/>
      <c r="G990" s="11"/>
      <c r="H990" s="11"/>
      <c r="I990" s="11"/>
      <c r="J990" s="11"/>
      <c r="K990" s="11"/>
      <c r="L990" s="10"/>
    </row>
    <row r="991" spans="1:12" x14ac:dyDescent="0.35">
      <c r="B991" s="38" t="s">
        <v>335</v>
      </c>
      <c r="C991" s="40"/>
      <c r="D991" s="41"/>
      <c r="E991" s="42"/>
      <c r="F991" s="43"/>
      <c r="G991" s="23">
        <v>2</v>
      </c>
      <c r="H991" s="23"/>
      <c r="I991" s="23"/>
      <c r="J991" s="23"/>
      <c r="K991" s="23"/>
      <c r="L991" s="43"/>
    </row>
    <row r="992" spans="1:12" x14ac:dyDescent="0.35">
      <c r="B992" s="38" t="s">
        <v>334</v>
      </c>
      <c r="C992" s="40"/>
      <c r="D992" s="41"/>
      <c r="E992" s="42"/>
      <c r="F992" s="43"/>
      <c r="G992" s="23">
        <v>15</v>
      </c>
      <c r="H992" s="23"/>
      <c r="I992" s="23"/>
      <c r="J992" s="23"/>
      <c r="K992" s="23"/>
      <c r="L992" s="43"/>
    </row>
    <row r="993" spans="1:12" x14ac:dyDescent="0.35">
      <c r="B993" s="38" t="s">
        <v>336</v>
      </c>
      <c r="C993" s="40"/>
      <c r="D993" s="41"/>
      <c r="E993" s="42"/>
      <c r="F993" s="43"/>
      <c r="G993" s="23">
        <v>20</v>
      </c>
      <c r="H993" s="23"/>
      <c r="I993" s="23"/>
      <c r="J993" s="23"/>
      <c r="K993" s="23"/>
      <c r="L993" s="43"/>
    </row>
    <row r="994" spans="1:12" x14ac:dyDescent="0.35">
      <c r="B994" s="38" t="s">
        <v>337</v>
      </c>
      <c r="C994" s="40"/>
      <c r="D994" s="41"/>
      <c r="E994" s="42"/>
      <c r="F994" s="43"/>
      <c r="G994" s="23">
        <v>30</v>
      </c>
      <c r="H994" s="23"/>
      <c r="I994" s="23"/>
      <c r="J994" s="23"/>
      <c r="K994" s="23"/>
      <c r="L994" s="43"/>
    </row>
    <row r="995" spans="1:12" x14ac:dyDescent="0.35">
      <c r="A995" s="16"/>
      <c r="B995" s="28"/>
      <c r="C995" s="16"/>
      <c r="D995" s="29"/>
      <c r="E995" s="30"/>
      <c r="F995" s="31"/>
      <c r="G995" s="32"/>
      <c r="H995" s="32"/>
      <c r="I995" s="32"/>
      <c r="J995" s="32"/>
      <c r="K995" s="32"/>
      <c r="L995" s="31"/>
    </row>
    <row r="996" spans="1:12" x14ac:dyDescent="0.35">
      <c r="A996" s="13">
        <v>1</v>
      </c>
      <c r="B996" s="14" t="s">
        <v>233</v>
      </c>
      <c r="C996" s="7"/>
      <c r="D996" s="8"/>
      <c r="E996" s="9"/>
      <c r="F996" s="10"/>
      <c r="G996" s="11"/>
      <c r="H996" s="11"/>
      <c r="I996" s="11"/>
      <c r="J996" s="11"/>
      <c r="K996" s="11"/>
      <c r="L996" s="10"/>
    </row>
    <row r="997" spans="1:12" x14ac:dyDescent="0.35">
      <c r="A997" s="16"/>
      <c r="B997" s="14"/>
      <c r="C997" s="7"/>
      <c r="D997" s="8"/>
      <c r="E997" s="9"/>
      <c r="F997" s="10"/>
      <c r="G997" s="11"/>
      <c r="H997" s="11"/>
      <c r="I997" s="11"/>
      <c r="J997" s="11"/>
      <c r="K997" s="11"/>
      <c r="L997" s="10"/>
    </row>
    <row r="998" spans="1:12" x14ac:dyDescent="0.35">
      <c r="B998" s="38" t="s">
        <v>247</v>
      </c>
      <c r="C998" s="40"/>
      <c r="D998" s="41"/>
      <c r="E998" s="42"/>
      <c r="F998" s="43"/>
      <c r="G998" s="23">
        <v>20</v>
      </c>
      <c r="H998" s="23"/>
      <c r="I998" s="23"/>
      <c r="J998" s="23"/>
      <c r="K998" s="23"/>
      <c r="L998" s="43"/>
    </row>
    <row r="999" spans="1:12" x14ac:dyDescent="0.35">
      <c r="A999" s="16"/>
      <c r="B999" s="28"/>
      <c r="C999" s="16"/>
      <c r="D999" s="29"/>
      <c r="E999" s="30"/>
      <c r="F999" s="31"/>
      <c r="G999" s="32"/>
      <c r="H999" s="32"/>
      <c r="I999" s="32"/>
      <c r="J999" s="32"/>
      <c r="K999" s="32"/>
      <c r="L999" s="31"/>
    </row>
    <row r="1000" spans="1:12" x14ac:dyDescent="0.35">
      <c r="A1000" s="13">
        <v>1</v>
      </c>
      <c r="B1000" s="14" t="s">
        <v>245</v>
      </c>
      <c r="C1000" s="7"/>
      <c r="D1000" s="8"/>
      <c r="E1000" s="9"/>
      <c r="F1000" s="10"/>
      <c r="G1000" s="11"/>
      <c r="H1000" s="11"/>
      <c r="I1000" s="11"/>
      <c r="J1000" s="11"/>
      <c r="K1000" s="11"/>
      <c r="L1000" s="10"/>
    </row>
    <row r="1001" spans="1:12" x14ac:dyDescent="0.35">
      <c r="A1001" s="16"/>
      <c r="B1001" s="14"/>
      <c r="C1001" s="7"/>
      <c r="D1001" s="8"/>
      <c r="E1001" s="9"/>
      <c r="F1001" s="10"/>
      <c r="G1001" s="11"/>
      <c r="H1001" s="11"/>
      <c r="I1001" s="11"/>
      <c r="J1001" s="11"/>
      <c r="K1001" s="11"/>
      <c r="L1001" s="10"/>
    </row>
    <row r="1002" spans="1:12" x14ac:dyDescent="0.35">
      <c r="B1002" s="38" t="s">
        <v>247</v>
      </c>
      <c r="C1002" s="40"/>
      <c r="D1002" s="41"/>
      <c r="E1002" s="42"/>
      <c r="F1002" s="43"/>
      <c r="G1002" s="23">
        <v>20</v>
      </c>
      <c r="H1002" s="23"/>
      <c r="I1002" s="23"/>
      <c r="J1002" s="23"/>
      <c r="K1002" s="23"/>
      <c r="L1002" s="43"/>
    </row>
    <row r="1003" spans="1:12" x14ac:dyDescent="0.35">
      <c r="A1003" s="16"/>
      <c r="B1003" s="28"/>
      <c r="C1003" s="16"/>
      <c r="D1003" s="29"/>
      <c r="E1003" s="30"/>
      <c r="F1003" s="31"/>
      <c r="G1003" s="32"/>
      <c r="H1003" s="32"/>
      <c r="I1003" s="32"/>
      <c r="J1003" s="32"/>
      <c r="K1003" s="32"/>
      <c r="L1003" s="31"/>
    </row>
    <row r="1004" spans="1:12" x14ac:dyDescent="0.35">
      <c r="A1004" s="13">
        <v>1</v>
      </c>
      <c r="B1004" s="14" t="s">
        <v>234</v>
      </c>
      <c r="C1004" s="7"/>
      <c r="D1004" s="8"/>
      <c r="E1004" s="9"/>
      <c r="F1004" s="10"/>
      <c r="G1004" s="11"/>
      <c r="H1004" s="11"/>
      <c r="I1004" s="11"/>
      <c r="J1004" s="11"/>
      <c r="K1004" s="11"/>
      <c r="L1004" s="10"/>
    </row>
    <row r="1005" spans="1:12" x14ac:dyDescent="0.35">
      <c r="A1005" s="16"/>
      <c r="B1005" s="14"/>
      <c r="C1005" s="7"/>
      <c r="D1005" s="8"/>
      <c r="E1005" s="9"/>
      <c r="F1005" s="10"/>
      <c r="G1005" s="11"/>
      <c r="H1005" s="11"/>
      <c r="I1005" s="11"/>
      <c r="J1005" s="11"/>
      <c r="K1005" s="11"/>
      <c r="L1005" s="10"/>
    </row>
    <row r="1006" spans="1:12" x14ac:dyDescent="0.35">
      <c r="B1006" s="38" t="s">
        <v>250</v>
      </c>
      <c r="C1006" s="40"/>
      <c r="D1006" s="41"/>
      <c r="E1006" s="42"/>
      <c r="F1006" s="43"/>
      <c r="G1006" s="23">
        <v>20</v>
      </c>
      <c r="H1006" s="23"/>
      <c r="I1006" s="23"/>
      <c r="J1006" s="23"/>
      <c r="K1006" s="23"/>
      <c r="L1006" s="43"/>
    </row>
    <row r="1007" spans="1:12" x14ac:dyDescent="0.35">
      <c r="A1007" s="16"/>
      <c r="B1007" s="28"/>
      <c r="C1007" s="16"/>
      <c r="D1007" s="29"/>
      <c r="E1007" s="30"/>
      <c r="F1007" s="31"/>
      <c r="G1007" s="32"/>
      <c r="H1007" s="32"/>
      <c r="I1007" s="32"/>
      <c r="J1007" s="32"/>
      <c r="K1007" s="32"/>
      <c r="L1007" s="31"/>
    </row>
    <row r="1008" spans="1:12" x14ac:dyDescent="0.35">
      <c r="A1008" s="13">
        <v>1</v>
      </c>
      <c r="B1008" s="14" t="s">
        <v>235</v>
      </c>
      <c r="C1008" s="7"/>
      <c r="D1008" s="8"/>
      <c r="E1008" s="9"/>
      <c r="F1008" s="10"/>
      <c r="G1008" s="11"/>
      <c r="H1008" s="11"/>
      <c r="I1008" s="11"/>
      <c r="J1008" s="11"/>
      <c r="K1008" s="11"/>
      <c r="L1008" s="10"/>
    </row>
    <row r="1009" spans="1:12" x14ac:dyDescent="0.35">
      <c r="A1009" s="16"/>
      <c r="B1009" s="14"/>
      <c r="C1009" s="7"/>
      <c r="D1009" s="8"/>
      <c r="E1009" s="9"/>
      <c r="F1009" s="10"/>
      <c r="G1009" s="11"/>
      <c r="H1009" s="11"/>
      <c r="I1009" s="11"/>
      <c r="J1009" s="11"/>
      <c r="K1009" s="11"/>
      <c r="L1009" s="10"/>
    </row>
    <row r="1010" spans="1:12" x14ac:dyDescent="0.35">
      <c r="B1010" s="38" t="s">
        <v>247</v>
      </c>
      <c r="C1010" s="40"/>
      <c r="D1010" s="41"/>
      <c r="E1010" s="42"/>
      <c r="F1010" s="43"/>
      <c r="G1010" s="23">
        <v>50</v>
      </c>
      <c r="H1010" s="23"/>
      <c r="I1010" s="23"/>
      <c r="J1010" s="23"/>
      <c r="K1010" s="23"/>
      <c r="L1010" s="43"/>
    </row>
    <row r="1011" spans="1:12" x14ac:dyDescent="0.35">
      <c r="A1011" s="16"/>
      <c r="B1011" s="28"/>
      <c r="C1011" s="16"/>
      <c r="D1011" s="29"/>
      <c r="E1011" s="30"/>
      <c r="F1011" s="31"/>
      <c r="G1011" s="32"/>
      <c r="H1011" s="32"/>
      <c r="I1011" s="32"/>
      <c r="J1011" s="32"/>
      <c r="K1011" s="32"/>
      <c r="L1011" s="31"/>
    </row>
    <row r="1012" spans="1:12" x14ac:dyDescent="0.35">
      <c r="A1012" s="13">
        <v>1</v>
      </c>
      <c r="B1012" s="14" t="s">
        <v>236</v>
      </c>
      <c r="C1012" s="7"/>
      <c r="D1012" s="8"/>
      <c r="E1012" s="9"/>
      <c r="F1012" s="10"/>
      <c r="G1012" s="11"/>
      <c r="H1012" s="11"/>
      <c r="I1012" s="11"/>
      <c r="J1012" s="11"/>
      <c r="K1012" s="11"/>
      <c r="L1012" s="10"/>
    </row>
    <row r="1013" spans="1:12" x14ac:dyDescent="0.35">
      <c r="A1013" s="16"/>
      <c r="B1013" s="14"/>
      <c r="C1013" s="7"/>
      <c r="D1013" s="8"/>
      <c r="E1013" s="9"/>
      <c r="F1013" s="10"/>
      <c r="G1013" s="11"/>
      <c r="H1013" s="11"/>
      <c r="I1013" s="11"/>
      <c r="J1013" s="11"/>
      <c r="K1013" s="11"/>
      <c r="L1013" s="10"/>
    </row>
    <row r="1014" spans="1:12" x14ac:dyDescent="0.35">
      <c r="B1014" s="38" t="s">
        <v>247</v>
      </c>
      <c r="C1014" s="40"/>
      <c r="D1014" s="41"/>
      <c r="E1014" s="42"/>
      <c r="F1014" s="43"/>
      <c r="G1014" s="23">
        <v>20</v>
      </c>
      <c r="H1014" s="23"/>
      <c r="I1014" s="23"/>
      <c r="J1014" s="23"/>
      <c r="K1014" s="23"/>
      <c r="L1014" s="43"/>
    </row>
    <row r="1015" spans="1:12" x14ac:dyDescent="0.35">
      <c r="A1015" s="16"/>
      <c r="B1015" s="28"/>
      <c r="C1015" s="16"/>
      <c r="D1015" s="29"/>
      <c r="E1015" s="30"/>
      <c r="F1015" s="31"/>
      <c r="G1015" s="32"/>
      <c r="H1015" s="32"/>
      <c r="I1015" s="32"/>
      <c r="J1015" s="32"/>
      <c r="K1015" s="32"/>
      <c r="L1015" s="31"/>
    </row>
    <row r="1016" spans="1:12" x14ac:dyDescent="0.35">
      <c r="A1016" s="13">
        <v>108</v>
      </c>
      <c r="B1016" s="14" t="s">
        <v>237</v>
      </c>
      <c r="C1016" s="7"/>
      <c r="D1016" s="8"/>
      <c r="E1016" s="9"/>
      <c r="F1016" s="10"/>
      <c r="G1016" s="11"/>
      <c r="H1016" s="11"/>
      <c r="I1016" s="11"/>
      <c r="J1016" s="11"/>
      <c r="K1016" s="11"/>
      <c r="L1016" s="10"/>
    </row>
    <row r="1017" spans="1:12" x14ac:dyDescent="0.35">
      <c r="A1017" s="16"/>
      <c r="B1017" s="14"/>
      <c r="C1017" s="7"/>
      <c r="D1017" s="8"/>
      <c r="E1017" s="9"/>
      <c r="F1017" s="10"/>
      <c r="G1017" s="11"/>
      <c r="H1017" s="11"/>
      <c r="I1017" s="11"/>
      <c r="J1017" s="11"/>
      <c r="K1017" s="11"/>
      <c r="L1017" s="10"/>
    </row>
    <row r="1018" spans="1:12" x14ac:dyDescent="0.35">
      <c r="B1018" s="38" t="s">
        <v>250</v>
      </c>
      <c r="C1018" s="40"/>
      <c r="D1018" s="41"/>
      <c r="E1018" s="42"/>
      <c r="F1018" s="43"/>
      <c r="G1018" s="23">
        <v>10</v>
      </c>
      <c r="H1018" s="23"/>
      <c r="I1018" s="23"/>
      <c r="J1018" s="23"/>
      <c r="K1018" s="23"/>
      <c r="L1018" s="43"/>
    </row>
    <row r="1019" spans="1:12" x14ac:dyDescent="0.35">
      <c r="A1019" s="16"/>
      <c r="B1019" s="28"/>
      <c r="C1019" s="16"/>
      <c r="D1019" s="29"/>
      <c r="E1019" s="30"/>
      <c r="F1019" s="31"/>
      <c r="G1019" s="32"/>
      <c r="H1019" s="32"/>
      <c r="I1019" s="32"/>
      <c r="J1019" s="32"/>
      <c r="K1019" s="32"/>
      <c r="L1019" s="31"/>
    </row>
    <row r="1020" spans="1:12" x14ac:dyDescent="0.35">
      <c r="A1020" s="13">
        <v>31</v>
      </c>
      <c r="B1020" s="14" t="s">
        <v>238</v>
      </c>
      <c r="C1020" s="7"/>
      <c r="D1020" s="8"/>
      <c r="E1020" s="9"/>
      <c r="F1020" s="10"/>
      <c r="G1020" s="11"/>
      <c r="H1020" s="11"/>
      <c r="I1020" s="11"/>
      <c r="J1020" s="11"/>
      <c r="K1020" s="11"/>
      <c r="L1020" s="10"/>
    </row>
    <row r="1021" spans="1:12" x14ac:dyDescent="0.35">
      <c r="A1021" s="16"/>
      <c r="B1021" s="14"/>
      <c r="C1021" s="7"/>
      <c r="D1021" s="8"/>
      <c r="E1021" s="9"/>
      <c r="F1021" s="10"/>
      <c r="G1021" s="11"/>
      <c r="H1021" s="11"/>
      <c r="I1021" s="11"/>
      <c r="J1021" s="11"/>
      <c r="K1021" s="11"/>
      <c r="L1021" s="10"/>
    </row>
    <row r="1022" spans="1:12" x14ac:dyDescent="0.35">
      <c r="B1022" s="38" t="s">
        <v>250</v>
      </c>
      <c r="C1022" s="40"/>
      <c r="D1022" s="41"/>
      <c r="E1022" s="42"/>
      <c r="F1022" s="43"/>
      <c r="G1022" s="23">
        <v>10</v>
      </c>
      <c r="H1022" s="23"/>
      <c r="I1022" s="23"/>
      <c r="J1022" s="23"/>
      <c r="K1022" s="23"/>
      <c r="L1022" s="43"/>
    </row>
    <row r="1023" spans="1:12" x14ac:dyDescent="0.35">
      <c r="A1023" s="16"/>
      <c r="B1023" s="28"/>
      <c r="C1023" s="16"/>
      <c r="D1023" s="29"/>
      <c r="E1023" s="30"/>
      <c r="F1023" s="31"/>
      <c r="G1023" s="32"/>
      <c r="H1023" s="32"/>
      <c r="I1023" s="32"/>
      <c r="J1023" s="32"/>
      <c r="K1023" s="32"/>
      <c r="L1023" s="31"/>
    </row>
    <row r="1024" spans="1:12" x14ac:dyDescent="0.35">
      <c r="A1024" s="13">
        <v>90</v>
      </c>
      <c r="B1024" s="14" t="s">
        <v>239</v>
      </c>
      <c r="C1024" s="7"/>
      <c r="D1024" s="8"/>
      <c r="E1024" s="61"/>
      <c r="F1024" s="10"/>
      <c r="G1024" s="11"/>
      <c r="H1024" s="11"/>
      <c r="I1024" s="11"/>
      <c r="J1024" s="11"/>
      <c r="K1024" s="11"/>
      <c r="L1024" s="10"/>
    </row>
    <row r="1025" spans="1:12" x14ac:dyDescent="0.35">
      <c r="A1025" s="16"/>
      <c r="B1025" s="14" t="s">
        <v>247</v>
      </c>
      <c r="C1025" s="7"/>
      <c r="D1025" s="8"/>
      <c r="E1025" s="61"/>
      <c r="F1025" s="10"/>
      <c r="G1025" s="11"/>
      <c r="H1025" s="11"/>
      <c r="I1025" s="11"/>
      <c r="J1025" s="11"/>
      <c r="K1025" s="11"/>
      <c r="L1025" s="10"/>
    </row>
    <row r="1026" spans="1:12" x14ac:dyDescent="0.35">
      <c r="A1026" s="16"/>
      <c r="B1026" s="38" t="s">
        <v>330</v>
      </c>
      <c r="C1026" s="7"/>
      <c r="D1026" s="8"/>
      <c r="E1026" s="61"/>
      <c r="F1026" s="10"/>
      <c r="G1026" s="23">
        <v>90</v>
      </c>
      <c r="H1026" s="23"/>
      <c r="I1026" s="23"/>
      <c r="J1026" s="23"/>
      <c r="K1026" s="23"/>
      <c r="L1026" s="10"/>
    </row>
    <row r="1027" spans="1:12" x14ac:dyDescent="0.35">
      <c r="B1027" s="38" t="s">
        <v>331</v>
      </c>
      <c r="C1027" s="40"/>
      <c r="D1027" s="41"/>
      <c r="E1027" s="62"/>
      <c r="F1027" s="43"/>
      <c r="G1027" s="23">
        <v>90</v>
      </c>
      <c r="H1027" s="23"/>
      <c r="I1027" s="23"/>
      <c r="J1027" s="23"/>
      <c r="K1027" s="23"/>
      <c r="L1027" s="43"/>
    </row>
    <row r="1028" spans="1:12" x14ac:dyDescent="0.35">
      <c r="C1028" s="40"/>
      <c r="D1028" s="41"/>
      <c r="E1028" s="62"/>
      <c r="F1028" s="43"/>
      <c r="G1028" s="43"/>
      <c r="H1028" s="43"/>
      <c r="I1028" s="43"/>
      <c r="J1028" s="43"/>
      <c r="K1028" s="43"/>
      <c r="L1028" s="43"/>
    </row>
    <row r="1029" spans="1:12" x14ac:dyDescent="0.35">
      <c r="A1029" s="13">
        <v>8</v>
      </c>
      <c r="B1029" s="14" t="s">
        <v>240</v>
      </c>
      <c r="C1029" s="7"/>
      <c r="D1029" s="8"/>
      <c r="E1029" s="9"/>
      <c r="F1029" s="10"/>
      <c r="G1029" s="11"/>
      <c r="H1029" s="11"/>
      <c r="I1029" s="11"/>
      <c r="J1029" s="11"/>
      <c r="K1029" s="11"/>
      <c r="L1029" s="10"/>
    </row>
    <row r="1030" spans="1:12" x14ac:dyDescent="0.35">
      <c r="A1030" s="16"/>
      <c r="B1030" s="14"/>
      <c r="C1030" s="7"/>
      <c r="D1030" s="8"/>
      <c r="E1030" s="9"/>
      <c r="F1030" s="10"/>
      <c r="G1030" s="11"/>
      <c r="H1030" s="11"/>
      <c r="I1030" s="11"/>
      <c r="J1030" s="11"/>
      <c r="K1030" s="11"/>
      <c r="L1030" s="10"/>
    </row>
    <row r="1031" spans="1:12" x14ac:dyDescent="0.35">
      <c r="B1031" s="38" t="s">
        <v>241</v>
      </c>
      <c r="C1031" s="40"/>
      <c r="D1031" s="41"/>
      <c r="E1031" s="42"/>
      <c r="F1031" s="43"/>
      <c r="G1031" s="23">
        <v>8</v>
      </c>
      <c r="H1031" s="23"/>
      <c r="I1031" s="23"/>
      <c r="J1031" s="23"/>
      <c r="K1031" s="23"/>
      <c r="L1031" s="43"/>
    </row>
    <row r="1032" spans="1:12" x14ac:dyDescent="0.35">
      <c r="A1032" s="16"/>
      <c r="B1032" s="28"/>
      <c r="C1032" s="16"/>
      <c r="D1032" s="29"/>
      <c r="E1032" s="30"/>
      <c r="F1032" s="31"/>
      <c r="G1032" s="32"/>
      <c r="H1032" s="32"/>
      <c r="I1032" s="32"/>
      <c r="J1032" s="32"/>
      <c r="K1032" s="32"/>
      <c r="L1032" s="31"/>
    </row>
    <row r="1033" spans="1:12" x14ac:dyDescent="0.35">
      <c r="A1033" s="13">
        <v>1</v>
      </c>
      <c r="B1033" s="14" t="s">
        <v>246</v>
      </c>
      <c r="C1033" s="7"/>
      <c r="D1033" s="8"/>
      <c r="E1033" s="9"/>
      <c r="F1033" s="10"/>
      <c r="G1033" s="11"/>
      <c r="H1033" s="11"/>
      <c r="I1033" s="11"/>
      <c r="J1033" s="11"/>
      <c r="K1033" s="11"/>
      <c r="L1033" s="10"/>
    </row>
    <row r="1034" spans="1:12" x14ac:dyDescent="0.35">
      <c r="A1034" s="16"/>
      <c r="B1034" s="14"/>
      <c r="C1034" s="7"/>
      <c r="D1034" s="8"/>
      <c r="E1034" s="9"/>
      <c r="F1034" s="10"/>
      <c r="G1034" s="11"/>
      <c r="H1034" s="11"/>
      <c r="I1034" s="11"/>
      <c r="J1034" s="11"/>
      <c r="K1034" s="11"/>
      <c r="L1034" s="10"/>
    </row>
    <row r="1035" spans="1:12" x14ac:dyDescent="0.35">
      <c r="B1035" s="38" t="s">
        <v>247</v>
      </c>
      <c r="C1035" s="40"/>
      <c r="D1035" s="41"/>
      <c r="E1035" s="42"/>
      <c r="F1035" s="43"/>
      <c r="G1035" s="23">
        <v>10</v>
      </c>
      <c r="H1035" s="23"/>
      <c r="I1035" s="23"/>
      <c r="J1035" s="23"/>
      <c r="K1035" s="23"/>
      <c r="L1035" s="43"/>
    </row>
    <row r="1036" spans="1:12" x14ac:dyDescent="0.35">
      <c r="C1036" s="40"/>
      <c r="D1036" s="41"/>
      <c r="E1036" s="42"/>
      <c r="F1036" s="43"/>
      <c r="G1036" s="23"/>
      <c r="H1036" s="23"/>
      <c r="I1036" s="23"/>
      <c r="J1036" s="23"/>
      <c r="K1036" s="23"/>
      <c r="L1036" s="43"/>
    </row>
    <row r="1037" spans="1:12" x14ac:dyDescent="0.35">
      <c r="C1037" s="40"/>
      <c r="D1037" s="41"/>
      <c r="E1037" s="42"/>
      <c r="F1037" s="43"/>
      <c r="G1037" s="23"/>
      <c r="H1037" s="23"/>
      <c r="I1037" s="23"/>
      <c r="J1037" s="23"/>
      <c r="K1037" s="23"/>
      <c r="L1037" s="43"/>
    </row>
    <row r="1038" spans="1:12" x14ac:dyDescent="0.35">
      <c r="A1038" s="13">
        <v>1</v>
      </c>
      <c r="B1038" s="14" t="s">
        <v>88</v>
      </c>
      <c r="C1038" s="7"/>
      <c r="D1038" s="8"/>
      <c r="E1038" s="61"/>
      <c r="F1038" s="10"/>
      <c r="G1038" s="11"/>
      <c r="H1038" s="11"/>
      <c r="I1038" s="11"/>
      <c r="J1038" s="11"/>
      <c r="K1038" s="11"/>
      <c r="L1038" s="10"/>
    </row>
    <row r="1039" spans="1:12" x14ac:dyDescent="0.35">
      <c r="A1039" s="16"/>
      <c r="B1039" s="14"/>
      <c r="C1039" s="7"/>
      <c r="D1039" s="8"/>
      <c r="E1039" s="61"/>
      <c r="F1039" s="10"/>
      <c r="G1039" s="11"/>
      <c r="H1039" s="11"/>
      <c r="I1039" s="11"/>
      <c r="J1039" s="11"/>
      <c r="K1039" s="11"/>
      <c r="L1039" s="10"/>
    </row>
    <row r="1040" spans="1:12" x14ac:dyDescent="0.35">
      <c r="B1040" s="38" t="s">
        <v>247</v>
      </c>
      <c r="C1040" s="40"/>
      <c r="D1040" s="41"/>
      <c r="E1040" s="62"/>
      <c r="F1040" s="43"/>
      <c r="G1040" s="23">
        <v>5</v>
      </c>
      <c r="H1040" s="23"/>
      <c r="I1040" s="23"/>
      <c r="J1040" s="23"/>
      <c r="K1040" s="23"/>
      <c r="L1040" s="43"/>
    </row>
    <row r="1041" spans="1:12" x14ac:dyDescent="0.35">
      <c r="A1041" s="16"/>
      <c r="B1041" s="28"/>
      <c r="C1041" s="16"/>
      <c r="D1041" s="29"/>
      <c r="E1041" s="63"/>
      <c r="F1041" s="31"/>
      <c r="G1041" s="32"/>
      <c r="H1041" s="32"/>
      <c r="I1041" s="32"/>
      <c r="J1041" s="32"/>
      <c r="K1041" s="32"/>
      <c r="L1041" s="31"/>
    </row>
    <row r="1042" spans="1:12" x14ac:dyDescent="0.35">
      <c r="A1042" s="13">
        <v>1</v>
      </c>
      <c r="B1042" s="14" t="s">
        <v>154</v>
      </c>
      <c r="C1042" s="7"/>
      <c r="D1042" s="8"/>
      <c r="E1042" s="9"/>
      <c r="F1042" s="10"/>
      <c r="G1042" s="11"/>
      <c r="H1042" s="11"/>
      <c r="I1042" s="11"/>
      <c r="J1042" s="11"/>
      <c r="K1042" s="11"/>
      <c r="L1042" s="10"/>
    </row>
    <row r="1043" spans="1:12" x14ac:dyDescent="0.35">
      <c r="A1043" s="16"/>
      <c r="B1043" s="14"/>
      <c r="C1043" s="7"/>
      <c r="D1043" s="8"/>
      <c r="E1043" s="9"/>
      <c r="F1043" s="10"/>
      <c r="G1043" s="11"/>
      <c r="H1043" s="11"/>
      <c r="I1043" s="11"/>
      <c r="J1043" s="11"/>
      <c r="K1043" s="11"/>
      <c r="L1043" s="10"/>
    </row>
    <row r="1044" spans="1:12" x14ac:dyDescent="0.35">
      <c r="A1044" s="52"/>
      <c r="B1044" s="38" t="s">
        <v>247</v>
      </c>
      <c r="C1044" s="40"/>
      <c r="D1044" s="41"/>
      <c r="E1044" s="42"/>
      <c r="F1044" s="43"/>
      <c r="G1044" s="23">
        <v>20</v>
      </c>
      <c r="H1044" s="23"/>
      <c r="I1044" s="23"/>
      <c r="J1044" s="23"/>
      <c r="K1044" s="23"/>
      <c r="L1044" s="43"/>
    </row>
    <row r="1045" spans="1:12" x14ac:dyDescent="0.35">
      <c r="A1045" s="52"/>
      <c r="C1045" s="40"/>
      <c r="D1045" s="41"/>
      <c r="E1045" s="42"/>
      <c r="F1045" s="43"/>
      <c r="G1045" s="23"/>
      <c r="H1045" s="23"/>
      <c r="I1045" s="23"/>
      <c r="J1045" s="23"/>
      <c r="K1045" s="23"/>
      <c r="L1045" s="43"/>
    </row>
    <row r="1046" spans="1:12" x14ac:dyDescent="0.35">
      <c r="A1046" s="13">
        <v>3</v>
      </c>
      <c r="B1046" s="14" t="s">
        <v>174</v>
      </c>
      <c r="C1046" s="7"/>
      <c r="D1046" s="8"/>
      <c r="E1046" s="9"/>
      <c r="F1046" s="10"/>
      <c r="G1046" s="11"/>
      <c r="H1046" s="11"/>
      <c r="I1046" s="11"/>
      <c r="J1046" s="11"/>
      <c r="K1046" s="11"/>
      <c r="L1046" s="10"/>
    </row>
    <row r="1047" spans="1:12" x14ac:dyDescent="0.35">
      <c r="A1047" s="16"/>
      <c r="B1047" s="14" t="s">
        <v>251</v>
      </c>
      <c r="C1047" s="7"/>
      <c r="D1047" s="8"/>
      <c r="E1047" s="9"/>
      <c r="F1047" s="10"/>
      <c r="G1047" s="11"/>
      <c r="H1047" s="11"/>
      <c r="I1047" s="11"/>
      <c r="J1047" s="11"/>
      <c r="K1047" s="11"/>
      <c r="L1047" s="10"/>
    </row>
    <row r="1048" spans="1:12" x14ac:dyDescent="0.35">
      <c r="B1048" s="38" t="s">
        <v>252</v>
      </c>
      <c r="C1048" s="40"/>
      <c r="D1048" s="41"/>
      <c r="E1048" s="42"/>
      <c r="F1048" s="43"/>
      <c r="G1048" s="23">
        <v>3</v>
      </c>
      <c r="H1048" s="23"/>
      <c r="I1048" s="23"/>
      <c r="J1048" s="23"/>
      <c r="K1048" s="23"/>
      <c r="L1048" s="43"/>
    </row>
    <row r="1049" spans="1:12" x14ac:dyDescent="0.35">
      <c r="B1049" s="38" t="s">
        <v>253</v>
      </c>
      <c r="C1049" s="40"/>
      <c r="D1049" s="41"/>
      <c r="E1049" s="42"/>
      <c r="F1049" s="43"/>
      <c r="G1049" s="23">
        <v>3</v>
      </c>
      <c r="H1049" s="23"/>
      <c r="I1049" s="23"/>
      <c r="J1049" s="23"/>
      <c r="K1049" s="23"/>
      <c r="L1049" s="43"/>
    </row>
    <row r="1050" spans="1:12" x14ac:dyDescent="0.35">
      <c r="B1050" s="38" t="s">
        <v>254</v>
      </c>
      <c r="C1050" s="40"/>
      <c r="D1050" s="41"/>
      <c r="E1050" s="42"/>
      <c r="F1050" s="43"/>
      <c r="G1050" s="23">
        <v>3</v>
      </c>
      <c r="H1050" s="23"/>
      <c r="I1050" s="23"/>
      <c r="J1050" s="23"/>
      <c r="K1050" s="23"/>
      <c r="L1050" s="43"/>
    </row>
    <row r="1051" spans="1:12" x14ac:dyDescent="0.35">
      <c r="B1051" s="38" t="s">
        <v>255</v>
      </c>
      <c r="C1051" s="40"/>
      <c r="D1051" s="41"/>
      <c r="E1051" s="42"/>
      <c r="F1051" s="43"/>
      <c r="G1051" s="23">
        <v>3</v>
      </c>
      <c r="H1051" s="23"/>
      <c r="I1051" s="23"/>
      <c r="J1051" s="23"/>
      <c r="K1051" s="23"/>
      <c r="L1051" s="43"/>
    </row>
    <row r="1052" spans="1:12" x14ac:dyDescent="0.35">
      <c r="B1052" s="38" t="s">
        <v>256</v>
      </c>
      <c r="C1052" s="40"/>
      <c r="D1052" s="41"/>
      <c r="E1052" s="42"/>
      <c r="F1052" s="43"/>
      <c r="G1052" s="23">
        <v>3</v>
      </c>
      <c r="H1052" s="23"/>
      <c r="I1052" s="23"/>
      <c r="J1052" s="23"/>
      <c r="K1052" s="23"/>
      <c r="L1052" s="43"/>
    </row>
    <row r="1053" spans="1:12" x14ac:dyDescent="0.35">
      <c r="B1053" s="38" t="s">
        <v>257</v>
      </c>
      <c r="C1053" s="40"/>
      <c r="D1053" s="41"/>
      <c r="E1053" s="42"/>
      <c r="F1053" s="43"/>
      <c r="G1053" s="23">
        <v>3</v>
      </c>
      <c r="H1053" s="23"/>
      <c r="I1053" s="23"/>
      <c r="J1053" s="23"/>
      <c r="K1053" s="23"/>
      <c r="L1053" s="43"/>
    </row>
    <row r="1054" spans="1:12" x14ac:dyDescent="0.35">
      <c r="C1054" s="40"/>
      <c r="D1054" s="41"/>
      <c r="E1054" s="42"/>
      <c r="F1054" s="43"/>
      <c r="G1054" s="23"/>
      <c r="H1054" s="23"/>
      <c r="I1054" s="23"/>
      <c r="J1054" s="23"/>
      <c r="K1054" s="23"/>
      <c r="L1054" s="43"/>
    </row>
    <row r="1055" spans="1:12" x14ac:dyDescent="0.35">
      <c r="A1055" s="13">
        <v>10</v>
      </c>
      <c r="B1055" s="14" t="s">
        <v>461</v>
      </c>
      <c r="C1055" s="7"/>
      <c r="D1055" s="8"/>
      <c r="E1055" s="61"/>
      <c r="F1055" s="10"/>
      <c r="G1055" s="11"/>
      <c r="H1055" s="11"/>
      <c r="I1055" s="11"/>
      <c r="J1055" s="11"/>
      <c r="K1055" s="11"/>
      <c r="L1055" s="10"/>
    </row>
    <row r="1056" spans="1:12" x14ac:dyDescent="0.35">
      <c r="A1056" s="16"/>
      <c r="B1056" s="14" t="s">
        <v>463</v>
      </c>
      <c r="C1056" s="7"/>
      <c r="D1056" s="8"/>
      <c r="E1056" s="61"/>
      <c r="F1056" s="10"/>
      <c r="G1056" s="11"/>
      <c r="H1056" s="11"/>
      <c r="I1056" s="11"/>
      <c r="J1056" s="11"/>
      <c r="K1056" s="11"/>
      <c r="L1056" s="10"/>
    </row>
    <row r="1057" spans="1:12" x14ac:dyDescent="0.35">
      <c r="B1057" s="38" t="s">
        <v>462</v>
      </c>
      <c r="C1057" s="40"/>
      <c r="D1057" s="41"/>
      <c r="E1057" s="62"/>
      <c r="F1057" s="43"/>
      <c r="G1057" s="23">
        <v>10</v>
      </c>
      <c r="H1057" s="23"/>
      <c r="I1057" s="23"/>
      <c r="J1057" s="23"/>
      <c r="K1057" s="23"/>
      <c r="L1057" s="43"/>
    </row>
    <row r="1058" spans="1:12" x14ac:dyDescent="0.35">
      <c r="C1058" s="40"/>
      <c r="D1058" s="41"/>
      <c r="E1058" s="42"/>
      <c r="F1058" s="43"/>
      <c r="G1058" s="23"/>
      <c r="H1058" s="23"/>
      <c r="I1058" s="23"/>
      <c r="J1058" s="23"/>
      <c r="K1058" s="23"/>
      <c r="L1058" s="43"/>
    </row>
    <row r="1059" spans="1:12" x14ac:dyDescent="0.35">
      <c r="C1059" s="40"/>
      <c r="D1059" s="41"/>
      <c r="E1059" s="42"/>
      <c r="F1059" s="43"/>
      <c r="G1059" s="23"/>
      <c r="H1059" s="23"/>
      <c r="I1059" s="23"/>
      <c r="J1059" s="23"/>
      <c r="K1059" s="23"/>
      <c r="L1059" s="43"/>
    </row>
    <row r="1060" spans="1:12" x14ac:dyDescent="0.35">
      <c r="A1060" s="16"/>
      <c r="B1060" s="28"/>
      <c r="C1060" s="16"/>
      <c r="D1060" s="29"/>
      <c r="E1060" s="30"/>
      <c r="F1060" s="31"/>
      <c r="G1060" s="32"/>
      <c r="H1060" s="32"/>
      <c r="I1060" s="32"/>
      <c r="J1060" s="32"/>
      <c r="K1060" s="32"/>
      <c r="L1060" s="31"/>
    </row>
    <row r="1061" spans="1:12" x14ac:dyDescent="0.35">
      <c r="A1061" s="44"/>
      <c r="B1061" s="45" t="s">
        <v>10</v>
      </c>
      <c r="C1061" s="46">
        <f>SUM(C1006:C1027)</f>
        <v>0</v>
      </c>
      <c r="D1061" s="46">
        <f t="shared" ref="D1061:F1061" si="1">SUM(D1006:D1027)</f>
        <v>0</v>
      </c>
      <c r="E1061" s="46">
        <f t="shared" si="1"/>
        <v>0</v>
      </c>
      <c r="F1061" s="46">
        <f t="shared" si="1"/>
        <v>0</v>
      </c>
      <c r="G1061" s="46">
        <f>SUM(G977:G1060)</f>
        <v>3342</v>
      </c>
      <c r="H1061" s="46"/>
      <c r="I1061" s="46"/>
      <c r="J1061" s="46"/>
      <c r="K1061" s="46"/>
      <c r="L1061" s="46"/>
    </row>
  </sheetData>
  <autoFilter ref="A11:BO987"/>
  <mergeCells count="48">
    <mergeCell ref="H192:K192"/>
    <mergeCell ref="H166:K166"/>
    <mergeCell ref="F944:F945"/>
    <mergeCell ref="C929:G929"/>
    <mergeCell ref="G944:G945"/>
    <mergeCell ref="C964:G964"/>
    <mergeCell ref="C966:C967"/>
    <mergeCell ref="D966:D967"/>
    <mergeCell ref="E966:E967"/>
    <mergeCell ref="F966:F967"/>
    <mergeCell ref="G966:G967"/>
    <mergeCell ref="C825:G825"/>
    <mergeCell ref="C975:G975"/>
    <mergeCell ref="C918:C919"/>
    <mergeCell ref="D918:D919"/>
    <mergeCell ref="E918:E919"/>
    <mergeCell ref="F918:F919"/>
    <mergeCell ref="G918:G919"/>
    <mergeCell ref="C953:G953"/>
    <mergeCell ref="C955:C956"/>
    <mergeCell ref="D955:D956"/>
    <mergeCell ref="E955:E956"/>
    <mergeCell ref="F955:F956"/>
    <mergeCell ref="G955:G956"/>
    <mergeCell ref="C944:C945"/>
    <mergeCell ref="D944:D945"/>
    <mergeCell ref="E944:E945"/>
    <mergeCell ref="C11:G11"/>
    <mergeCell ref="C37:G37"/>
    <mergeCell ref="C69:G69"/>
    <mergeCell ref="C98:G98"/>
    <mergeCell ref="C126:G126"/>
    <mergeCell ref="L918:L919"/>
    <mergeCell ref="L944:L945"/>
    <mergeCell ref="L955:L956"/>
    <mergeCell ref="L966:L967"/>
    <mergeCell ref="C166:G166"/>
    <mergeCell ref="C892:G892"/>
    <mergeCell ref="C192:G192"/>
    <mergeCell ref="C215:G215"/>
    <mergeCell ref="C310:G310"/>
    <mergeCell ref="C367:G367"/>
    <mergeCell ref="C456:G456"/>
    <mergeCell ref="C511:G511"/>
    <mergeCell ref="C580:G580"/>
    <mergeCell ref="C642:G642"/>
    <mergeCell ref="C705:G705"/>
    <mergeCell ref="C754:G754"/>
  </mergeCells>
  <pageMargins left="0.25" right="0.25" top="0.49" bottom="0.31" header="0.35" footer="0.3"/>
  <pageSetup paperSize="9" scale="56" fitToHeight="0" orientation="landscape" r:id="rId1"/>
  <rowBreaks count="2" manualBreakCount="2">
    <brk id="889" max="7" man="1"/>
    <brk id="928" max="7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1231"/>
  <sheetViews>
    <sheetView view="pageBreakPreview" topLeftCell="A1117" zoomScale="85" zoomScaleNormal="85" zoomScaleSheetLayoutView="85" workbookViewId="0">
      <selection activeCell="B26" sqref="A25:B26"/>
    </sheetView>
  </sheetViews>
  <sheetFormatPr defaultColWidth="9.109375" defaultRowHeight="14.4" x14ac:dyDescent="0.35"/>
  <cols>
    <col min="1" max="1" width="7.77734375" style="17" customWidth="1"/>
    <col min="2" max="2" width="64" style="38" customWidth="1"/>
    <col min="3" max="3" width="11.44140625" style="69" customWidth="1"/>
    <col min="4" max="4" width="7.109375" style="69" customWidth="1"/>
    <col min="5" max="5" width="9.44140625" style="70" customWidth="1"/>
    <col min="6" max="6" width="9.44140625" style="71" customWidth="1"/>
    <col min="7" max="7" width="11.33203125" style="72" customWidth="1"/>
    <col min="8" max="16384" width="9.109375" style="15"/>
  </cols>
  <sheetData>
    <row r="1" spans="1:7" s="5" customFormat="1" ht="17.7" hidden="1" customHeight="1" x14ac:dyDescent="0.25">
      <c r="A1" s="1" t="s">
        <v>0</v>
      </c>
      <c r="B1" s="2" t="s">
        <v>1</v>
      </c>
      <c r="C1" s="3" t="s">
        <v>2</v>
      </c>
      <c r="D1" s="3"/>
      <c r="E1" s="4"/>
      <c r="F1" s="3"/>
      <c r="G1" s="3"/>
    </row>
    <row r="2" spans="1:7" s="12" customFormat="1" ht="98.7" hidden="1" customHeight="1" x14ac:dyDescent="0.3">
      <c r="A2" s="1"/>
      <c r="B2" s="6" t="s">
        <v>3</v>
      </c>
      <c r="C2" s="7" t="s">
        <v>4</v>
      </c>
      <c r="D2" s="8" t="s">
        <v>5</v>
      </c>
      <c r="E2" s="9" t="s">
        <v>6</v>
      </c>
      <c r="F2" s="10" t="s">
        <v>7</v>
      </c>
      <c r="G2" s="11" t="s">
        <v>8</v>
      </c>
    </row>
    <row r="3" spans="1:7" ht="16.8" hidden="1" customHeight="1" x14ac:dyDescent="0.35">
      <c r="A3" s="13"/>
      <c r="B3" s="14"/>
      <c r="C3" s="7"/>
      <c r="D3" s="8"/>
      <c r="E3" s="9"/>
      <c r="F3" s="10"/>
      <c r="G3" s="11"/>
    </row>
    <row r="4" spans="1:7" ht="15.6" hidden="1" customHeight="1" x14ac:dyDescent="0.35">
      <c r="A4" s="16"/>
      <c r="B4" s="14"/>
      <c r="C4" s="7"/>
      <c r="D4" s="8"/>
      <c r="E4" s="9"/>
      <c r="F4" s="10"/>
      <c r="G4" s="11"/>
    </row>
    <row r="5" spans="1:7" s="24" customFormat="1" ht="19.2" hidden="1" customHeight="1" x14ac:dyDescent="0.25">
      <c r="A5" s="17"/>
      <c r="B5" s="18"/>
      <c r="C5" s="19"/>
      <c r="D5" s="20"/>
      <c r="E5" s="21"/>
      <c r="F5" s="22"/>
      <c r="G5" s="23"/>
    </row>
    <row r="6" spans="1:7" s="24" customFormat="1" ht="14.4" hidden="1" customHeight="1" x14ac:dyDescent="0.25">
      <c r="A6" s="17"/>
      <c r="B6" s="25"/>
      <c r="C6" s="19"/>
      <c r="D6" s="20"/>
      <c r="E6" s="21"/>
      <c r="F6" s="22"/>
      <c r="G6" s="23"/>
    </row>
    <row r="7" spans="1:7" s="24" customFormat="1" ht="13.5" hidden="1" customHeight="1" x14ac:dyDescent="0.25">
      <c r="A7" s="17"/>
      <c r="B7" s="78"/>
      <c r="C7" s="19"/>
      <c r="D7" s="20"/>
      <c r="E7" s="21"/>
      <c r="F7" s="22"/>
      <c r="G7" s="27"/>
    </row>
    <row r="8" spans="1:7" s="33" customFormat="1" ht="14.1" hidden="1" customHeight="1" x14ac:dyDescent="0.25">
      <c r="A8" s="16"/>
      <c r="B8" s="28"/>
      <c r="C8" s="16"/>
      <c r="D8" s="29"/>
      <c r="E8" s="30"/>
      <c r="F8" s="31"/>
      <c r="G8" s="32"/>
    </row>
    <row r="9" spans="1:7" s="24" customFormat="1" ht="12.3" hidden="1" customHeight="1" x14ac:dyDescent="0.25">
      <c r="A9" s="16"/>
      <c r="B9" s="34" t="s">
        <v>9</v>
      </c>
      <c r="C9" s="19">
        <v>0</v>
      </c>
      <c r="D9" s="20">
        <v>0</v>
      </c>
      <c r="E9" s="21">
        <v>0</v>
      </c>
      <c r="F9" s="22">
        <v>0</v>
      </c>
      <c r="G9" s="35">
        <v>0</v>
      </c>
    </row>
    <row r="10" spans="1:7" s="24" customFormat="1" ht="7.8" hidden="1" customHeight="1" x14ac:dyDescent="0.25">
      <c r="A10" s="16"/>
      <c r="B10" s="34" t="s">
        <v>10</v>
      </c>
      <c r="C10" s="19">
        <v>0</v>
      </c>
      <c r="D10" s="20">
        <v>0</v>
      </c>
      <c r="E10" s="21">
        <v>0</v>
      </c>
      <c r="F10" s="22">
        <v>0</v>
      </c>
      <c r="G10" s="35">
        <v>0</v>
      </c>
    </row>
    <row r="11" spans="1:7" s="24" customFormat="1" ht="46.2" customHeight="1" x14ac:dyDescent="0.25">
      <c r="A11" s="75" t="s">
        <v>11</v>
      </c>
      <c r="B11" s="2" t="s">
        <v>1</v>
      </c>
      <c r="C11" s="90" t="s">
        <v>2</v>
      </c>
      <c r="D11" s="90"/>
      <c r="E11" s="90"/>
      <c r="F11" s="90"/>
      <c r="G11" s="90"/>
    </row>
    <row r="12" spans="1:7" s="12" customFormat="1" ht="90.6" customHeight="1" x14ac:dyDescent="0.3">
      <c r="A12" s="37"/>
      <c r="B12" s="6" t="s">
        <v>12</v>
      </c>
      <c r="C12" s="7" t="s">
        <v>4</v>
      </c>
      <c r="D12" s="8" t="s">
        <v>5</v>
      </c>
      <c r="E12" s="9" t="s">
        <v>6</v>
      </c>
      <c r="F12" s="10" t="s">
        <v>7</v>
      </c>
      <c r="G12" s="11" t="s">
        <v>8</v>
      </c>
    </row>
    <row r="13" spans="1:7" ht="19.95" customHeight="1" x14ac:dyDescent="0.35">
      <c r="A13" s="13">
        <v>3</v>
      </c>
      <c r="B13" s="14" t="s">
        <v>13</v>
      </c>
      <c r="C13" s="7"/>
      <c r="D13" s="8"/>
      <c r="E13" s="9"/>
      <c r="F13" s="10"/>
      <c r="G13" s="11"/>
    </row>
    <row r="14" spans="1:7" ht="19.95" customHeight="1" x14ac:dyDescent="0.35">
      <c r="A14" s="16"/>
      <c r="B14" s="14" t="s">
        <v>14</v>
      </c>
      <c r="C14" s="7"/>
      <c r="D14" s="8"/>
      <c r="E14" s="9"/>
      <c r="F14" s="10"/>
      <c r="G14" s="11"/>
    </row>
    <row r="15" spans="1:7" s="24" customFormat="1" ht="19.95" customHeight="1" x14ac:dyDescent="0.25">
      <c r="A15" s="17"/>
      <c r="B15" s="38" t="s">
        <v>15</v>
      </c>
      <c r="C15" s="19"/>
      <c r="D15" s="20"/>
      <c r="E15" s="21">
        <f>2*A13</f>
        <v>6</v>
      </c>
      <c r="F15" s="22"/>
      <c r="G15" s="23"/>
    </row>
    <row r="16" spans="1:7" s="24" customFormat="1" ht="19.95" customHeight="1" x14ac:dyDescent="0.25">
      <c r="A16" s="17"/>
      <c r="B16" s="38" t="s">
        <v>16</v>
      </c>
      <c r="C16" s="19"/>
      <c r="D16" s="20"/>
      <c r="E16" s="21">
        <f>1*A13</f>
        <v>3</v>
      </c>
      <c r="F16" s="22"/>
      <c r="G16" s="23"/>
    </row>
    <row r="17" spans="1:7" s="24" customFormat="1" ht="19.95" customHeight="1" x14ac:dyDescent="0.25">
      <c r="A17" s="17"/>
      <c r="B17" s="38" t="s">
        <v>17</v>
      </c>
      <c r="C17" s="19"/>
      <c r="D17" s="20"/>
      <c r="E17" s="21">
        <f>E16</f>
        <v>3</v>
      </c>
      <c r="F17" s="22"/>
      <c r="G17" s="23"/>
    </row>
    <row r="18" spans="1:7" s="24" customFormat="1" ht="19.95" customHeight="1" x14ac:dyDescent="0.25">
      <c r="A18" s="17"/>
      <c r="B18" s="38" t="s">
        <v>18</v>
      </c>
      <c r="C18" s="19"/>
      <c r="D18" s="20"/>
      <c r="E18" s="21">
        <f>E17</f>
        <v>3</v>
      </c>
      <c r="F18" s="22"/>
      <c r="G18" s="23"/>
    </row>
    <row r="19" spans="1:7" s="24" customFormat="1" ht="19.95" customHeight="1" x14ac:dyDescent="0.25">
      <c r="A19" s="17"/>
      <c r="B19" s="38" t="s">
        <v>19</v>
      </c>
      <c r="C19" s="19"/>
      <c r="D19" s="20">
        <f>1*A13</f>
        <v>3</v>
      </c>
      <c r="E19" s="21"/>
      <c r="F19" s="22"/>
      <c r="G19" s="23"/>
    </row>
    <row r="20" spans="1:7" s="24" customFormat="1" ht="19.95" customHeight="1" x14ac:dyDescent="0.25">
      <c r="A20" s="17"/>
      <c r="B20" s="38" t="s">
        <v>20</v>
      </c>
      <c r="C20" s="19">
        <f>D19</f>
        <v>3</v>
      </c>
      <c r="D20" s="20"/>
      <c r="E20" s="21"/>
      <c r="F20" s="22"/>
      <c r="G20" s="23"/>
    </row>
    <row r="21" spans="1:7" s="24" customFormat="1" ht="19.95" customHeight="1" x14ac:dyDescent="0.25">
      <c r="A21" s="17"/>
      <c r="B21" s="38" t="s">
        <v>21</v>
      </c>
      <c r="C21" s="19">
        <f>D19</f>
        <v>3</v>
      </c>
      <c r="D21" s="20"/>
      <c r="E21" s="21"/>
      <c r="F21" s="22"/>
      <c r="G21" s="23"/>
    </row>
    <row r="22" spans="1:7" s="24" customFormat="1" ht="19.95" customHeight="1" x14ac:dyDescent="0.25">
      <c r="A22" s="17"/>
      <c r="B22" s="38" t="s">
        <v>22</v>
      </c>
      <c r="C22" s="19">
        <f>D19</f>
        <v>3</v>
      </c>
      <c r="D22" s="20"/>
      <c r="E22" s="21"/>
      <c r="F22" s="22"/>
      <c r="G22" s="23"/>
    </row>
    <row r="23" spans="1:7" s="24" customFormat="1" ht="19.95" customHeight="1" x14ac:dyDescent="0.25">
      <c r="A23" s="17"/>
      <c r="B23" s="79" t="s">
        <v>23</v>
      </c>
      <c r="C23" s="19"/>
      <c r="D23" s="20"/>
      <c r="E23" s="21">
        <f>1*A13</f>
        <v>3</v>
      </c>
      <c r="F23" s="22">
        <f>1*A13</f>
        <v>3</v>
      </c>
      <c r="G23" s="23"/>
    </row>
    <row r="24" spans="1:7" s="24" customFormat="1" ht="19.95" customHeight="1" x14ac:dyDescent="0.25">
      <c r="A24" s="17"/>
      <c r="B24" s="79" t="s">
        <v>24</v>
      </c>
      <c r="C24" s="19"/>
      <c r="D24" s="20"/>
      <c r="E24" s="21">
        <f>1*A13</f>
        <v>3</v>
      </c>
      <c r="F24" s="22"/>
      <c r="G24" s="23"/>
    </row>
    <row r="25" spans="1:7" s="24" customFormat="1" ht="19.95" customHeight="1" x14ac:dyDescent="0.25">
      <c r="A25" s="17"/>
      <c r="B25" s="79"/>
      <c r="C25" s="19"/>
      <c r="D25" s="20"/>
      <c r="E25" s="21"/>
      <c r="F25" s="22"/>
      <c r="G25" s="23"/>
    </row>
    <row r="26" spans="1:7" ht="19.95" customHeight="1" x14ac:dyDescent="0.35">
      <c r="A26" s="13">
        <v>2</v>
      </c>
      <c r="B26" s="14" t="s">
        <v>25</v>
      </c>
      <c r="C26" s="7"/>
      <c r="D26" s="8"/>
      <c r="E26" s="9"/>
      <c r="F26" s="10"/>
      <c r="G26" s="11"/>
    </row>
    <row r="27" spans="1:7" ht="19.95" customHeight="1" x14ac:dyDescent="0.35">
      <c r="A27" s="16"/>
      <c r="B27" s="14" t="s">
        <v>338</v>
      </c>
      <c r="C27" s="7"/>
      <c r="D27" s="8"/>
      <c r="E27" s="9"/>
      <c r="F27" s="10"/>
      <c r="G27" s="11"/>
    </row>
    <row r="28" spans="1:7" s="24" customFormat="1" ht="19.95" customHeight="1" x14ac:dyDescent="0.25">
      <c r="A28" s="17"/>
      <c r="B28" s="38" t="s">
        <v>26</v>
      </c>
      <c r="C28" s="40">
        <f>A26*1</f>
        <v>2</v>
      </c>
      <c r="D28" s="41"/>
      <c r="E28" s="42"/>
      <c r="F28" s="43"/>
      <c r="G28" s="23"/>
    </row>
    <row r="29" spans="1:7" s="24" customFormat="1" ht="19.95" customHeight="1" x14ac:dyDescent="0.25">
      <c r="A29" s="17"/>
      <c r="B29" s="38" t="s">
        <v>27</v>
      </c>
      <c r="C29" s="40">
        <f>A26*1</f>
        <v>2</v>
      </c>
      <c r="D29" s="41"/>
      <c r="E29" s="42"/>
      <c r="F29" s="43"/>
      <c r="G29" s="23"/>
    </row>
    <row r="30" spans="1:7" s="24" customFormat="1" ht="19.95" customHeight="1" x14ac:dyDescent="0.25">
      <c r="A30" s="17"/>
      <c r="B30" s="38"/>
      <c r="C30" s="40"/>
      <c r="D30" s="41"/>
      <c r="E30" s="42"/>
      <c r="F30" s="43"/>
      <c r="G30" s="23"/>
    </row>
    <row r="31" spans="1:7" ht="19.95" customHeight="1" x14ac:dyDescent="0.35">
      <c r="A31" s="13">
        <v>1</v>
      </c>
      <c r="B31" s="14" t="s">
        <v>243</v>
      </c>
      <c r="C31" s="7"/>
      <c r="D31" s="8"/>
      <c r="E31" s="9"/>
      <c r="F31" s="10"/>
      <c r="G31" s="11"/>
    </row>
    <row r="32" spans="1:7" ht="19.95" customHeight="1" x14ac:dyDescent="0.35">
      <c r="A32" s="16"/>
      <c r="B32" s="14"/>
      <c r="C32" s="7"/>
      <c r="D32" s="8"/>
      <c r="E32" s="9"/>
      <c r="F32" s="10"/>
      <c r="G32" s="11"/>
    </row>
    <row r="33" spans="1:8" s="24" customFormat="1" ht="19.95" customHeight="1" x14ac:dyDescent="0.25">
      <c r="A33" s="17"/>
      <c r="B33" s="38" t="s">
        <v>244</v>
      </c>
      <c r="C33" s="40">
        <v>1</v>
      </c>
      <c r="D33" s="41"/>
      <c r="E33" s="42"/>
      <c r="F33" s="43"/>
      <c r="G33" s="23"/>
    </row>
    <row r="34" spans="1:8" s="24" customFormat="1" ht="19.95" customHeight="1" x14ac:dyDescent="0.25">
      <c r="A34" s="17"/>
      <c r="B34" s="38"/>
      <c r="C34" s="40"/>
      <c r="D34" s="41"/>
      <c r="E34" s="42"/>
      <c r="F34" s="43"/>
      <c r="G34" s="23"/>
    </row>
    <row r="35" spans="1:8" ht="19.95" customHeight="1" x14ac:dyDescent="0.35">
      <c r="A35" s="13">
        <v>1</v>
      </c>
      <c r="B35" s="14" t="s">
        <v>29</v>
      </c>
      <c r="C35" s="7"/>
      <c r="D35" s="8"/>
      <c r="E35" s="9"/>
      <c r="F35" s="10"/>
      <c r="G35" s="11"/>
    </row>
    <row r="36" spans="1:8" ht="19.95" customHeight="1" x14ac:dyDescent="0.35">
      <c r="A36" s="16"/>
      <c r="B36" s="14" t="s">
        <v>339</v>
      </c>
      <c r="C36" s="7"/>
      <c r="D36" s="8"/>
      <c r="E36" s="9"/>
      <c r="F36" s="10"/>
      <c r="G36" s="11"/>
    </row>
    <row r="37" spans="1:8" s="24" customFormat="1" ht="19.95" customHeight="1" x14ac:dyDescent="0.25">
      <c r="A37" s="17"/>
      <c r="B37" s="38" t="s">
        <v>26</v>
      </c>
      <c r="C37" s="40">
        <v>1</v>
      </c>
      <c r="D37" s="41"/>
      <c r="E37" s="42"/>
      <c r="F37" s="43"/>
      <c r="G37" s="23"/>
    </row>
    <row r="38" spans="1:8" s="24" customFormat="1" ht="19.95" customHeight="1" x14ac:dyDescent="0.25">
      <c r="A38" s="17"/>
      <c r="B38" s="38" t="s">
        <v>27</v>
      </c>
      <c r="C38" s="40">
        <v>1</v>
      </c>
      <c r="D38" s="41"/>
      <c r="E38" s="42"/>
      <c r="F38" s="43"/>
      <c r="G38" s="23"/>
    </row>
    <row r="39" spans="1:8" s="24" customFormat="1" ht="19.95" customHeight="1" x14ac:dyDescent="0.25">
      <c r="A39" s="17"/>
      <c r="B39" s="38"/>
      <c r="C39" s="40"/>
      <c r="D39" s="41"/>
      <c r="E39" s="42"/>
      <c r="F39" s="43"/>
      <c r="G39" s="23"/>
      <c r="H39" s="73">
        <v>46090</v>
      </c>
    </row>
    <row r="40" spans="1:8" s="24" customFormat="1" ht="19.95" customHeight="1" x14ac:dyDescent="0.25">
      <c r="A40" s="44"/>
      <c r="B40" s="45" t="s">
        <v>10</v>
      </c>
      <c r="C40" s="46">
        <f>SUM(C15:C39)</f>
        <v>16</v>
      </c>
      <c r="D40" s="46">
        <f>SUM(D15:D39)</f>
        <v>3</v>
      </c>
      <c r="E40" s="46">
        <f>SUM(E15:E39)</f>
        <v>21</v>
      </c>
      <c r="F40" s="46">
        <f>SUM(F15:F39)</f>
        <v>3</v>
      </c>
      <c r="G40" s="46">
        <f>SUM(G15:G39)</f>
        <v>0</v>
      </c>
    </row>
    <row r="41" spans="1:8" s="24" customFormat="1" ht="19.95" customHeight="1" x14ac:dyDescent="0.25">
      <c r="A41" s="47"/>
      <c r="B41" s="48"/>
      <c r="C41" s="40"/>
      <c r="D41" s="40"/>
      <c r="E41" s="40"/>
      <c r="F41" s="40"/>
      <c r="G41" s="40"/>
    </row>
    <row r="42" spans="1:8" customFormat="1" ht="41.4" customHeight="1" x14ac:dyDescent="0.25">
      <c r="A42" s="75" t="s">
        <v>11</v>
      </c>
      <c r="B42" s="2" t="s">
        <v>1</v>
      </c>
      <c r="C42" s="90" t="s">
        <v>2</v>
      </c>
      <c r="D42" s="90"/>
      <c r="E42" s="90"/>
      <c r="F42" s="90"/>
      <c r="G42" s="90"/>
    </row>
    <row r="43" spans="1:8" s="12" customFormat="1" ht="113.4" customHeight="1" x14ac:dyDescent="0.3">
      <c r="A43" s="1"/>
      <c r="B43" s="6" t="s">
        <v>30</v>
      </c>
      <c r="C43" s="7" t="s">
        <v>4</v>
      </c>
      <c r="D43" s="8" t="s">
        <v>5</v>
      </c>
      <c r="E43" s="9" t="s">
        <v>6</v>
      </c>
      <c r="F43" s="10" t="s">
        <v>7</v>
      </c>
      <c r="G43" s="11" t="s">
        <v>8</v>
      </c>
    </row>
    <row r="44" spans="1:8" ht="19.95" customHeight="1" x14ac:dyDescent="0.35">
      <c r="A44" s="13">
        <v>3</v>
      </c>
      <c r="B44" s="14" t="s">
        <v>13</v>
      </c>
      <c r="C44" s="7"/>
      <c r="D44" s="8"/>
      <c r="E44" s="9"/>
      <c r="F44" s="10"/>
      <c r="G44" s="11"/>
    </row>
    <row r="45" spans="1:8" ht="19.95" customHeight="1" x14ac:dyDescent="0.35">
      <c r="A45" s="16"/>
      <c r="B45" s="14" t="s">
        <v>31</v>
      </c>
      <c r="C45" s="7"/>
      <c r="D45" s="8"/>
      <c r="E45" s="9"/>
      <c r="F45" s="10"/>
      <c r="G45" s="11"/>
    </row>
    <row r="46" spans="1:8" s="24" customFormat="1" ht="19.95" customHeight="1" x14ac:dyDescent="0.25">
      <c r="A46" s="17"/>
      <c r="B46" s="38" t="s">
        <v>15</v>
      </c>
      <c r="C46" s="19"/>
      <c r="D46" s="20"/>
      <c r="E46" s="21">
        <f>2*A44</f>
        <v>6</v>
      </c>
      <c r="F46" s="22"/>
      <c r="G46" s="23"/>
    </row>
    <row r="47" spans="1:8" s="24" customFormat="1" ht="19.95" customHeight="1" x14ac:dyDescent="0.25">
      <c r="A47" s="17"/>
      <c r="B47" s="38" t="s">
        <v>16</v>
      </c>
      <c r="C47" s="19"/>
      <c r="D47" s="20"/>
      <c r="E47" s="21">
        <f>1*A44</f>
        <v>3</v>
      </c>
      <c r="F47" s="22"/>
      <c r="G47" s="23"/>
    </row>
    <row r="48" spans="1:8" s="24" customFormat="1" ht="19.95" customHeight="1" x14ac:dyDescent="0.25">
      <c r="A48" s="17"/>
      <c r="B48" s="38" t="s">
        <v>17</v>
      </c>
      <c r="C48" s="19"/>
      <c r="D48" s="20"/>
      <c r="E48" s="21">
        <f>E47</f>
        <v>3</v>
      </c>
      <c r="F48" s="22"/>
      <c r="G48" s="23"/>
    </row>
    <row r="49" spans="1:7" s="24" customFormat="1" ht="19.95" customHeight="1" x14ac:dyDescent="0.25">
      <c r="A49" s="17"/>
      <c r="B49" s="38" t="s">
        <v>18</v>
      </c>
      <c r="C49" s="19"/>
      <c r="D49" s="20"/>
      <c r="E49" s="21">
        <f>E48</f>
        <v>3</v>
      </c>
      <c r="F49" s="22"/>
      <c r="G49" s="23"/>
    </row>
    <row r="50" spans="1:7" s="24" customFormat="1" ht="19.95" customHeight="1" x14ac:dyDescent="0.25">
      <c r="A50" s="17"/>
      <c r="B50" s="38" t="s">
        <v>19</v>
      </c>
      <c r="C50" s="19"/>
      <c r="D50" s="20">
        <f>1*A44</f>
        <v>3</v>
      </c>
      <c r="E50" s="21"/>
      <c r="F50" s="22"/>
      <c r="G50" s="23"/>
    </row>
    <row r="51" spans="1:7" s="24" customFormat="1" ht="19.95" customHeight="1" x14ac:dyDescent="0.25">
      <c r="A51" s="17"/>
      <c r="B51" s="38" t="s">
        <v>20</v>
      </c>
      <c r="C51" s="19">
        <f>D50</f>
        <v>3</v>
      </c>
      <c r="D51" s="20"/>
      <c r="E51" s="21"/>
      <c r="F51" s="22"/>
      <c r="G51" s="23"/>
    </row>
    <row r="52" spans="1:7" s="24" customFormat="1" ht="19.95" customHeight="1" x14ac:dyDescent="0.25">
      <c r="A52" s="17"/>
      <c r="B52" s="38" t="s">
        <v>21</v>
      </c>
      <c r="C52" s="19">
        <f>D50</f>
        <v>3</v>
      </c>
      <c r="D52" s="20"/>
      <c r="E52" s="21"/>
      <c r="F52" s="22"/>
      <c r="G52" s="23"/>
    </row>
    <row r="53" spans="1:7" s="24" customFormat="1" ht="19.95" customHeight="1" x14ac:dyDescent="0.25">
      <c r="A53" s="17"/>
      <c r="B53" s="38" t="s">
        <v>22</v>
      </c>
      <c r="C53" s="19">
        <f>D50</f>
        <v>3</v>
      </c>
      <c r="D53" s="20"/>
      <c r="E53" s="21"/>
      <c r="F53" s="22"/>
      <c r="G53" s="23"/>
    </row>
    <row r="54" spans="1:7" s="24" customFormat="1" ht="19.95" customHeight="1" x14ac:dyDescent="0.25">
      <c r="A54" s="17"/>
      <c r="B54" s="79" t="s">
        <v>23</v>
      </c>
      <c r="C54" s="19"/>
      <c r="D54" s="20"/>
      <c r="E54" s="21">
        <f>1*A44</f>
        <v>3</v>
      </c>
      <c r="F54" s="22">
        <f>1*A44</f>
        <v>3</v>
      </c>
      <c r="G54" s="23"/>
    </row>
    <row r="55" spans="1:7" s="24" customFormat="1" ht="19.95" customHeight="1" x14ac:dyDescent="0.25">
      <c r="A55" s="17"/>
      <c r="B55" s="79" t="s">
        <v>24</v>
      </c>
      <c r="C55" s="19"/>
      <c r="D55" s="20"/>
      <c r="E55" s="21">
        <f>1*A44</f>
        <v>3</v>
      </c>
      <c r="F55" s="22"/>
      <c r="G55" s="23"/>
    </row>
    <row r="56" spans="1:7" s="24" customFormat="1" ht="19.95" customHeight="1" x14ac:dyDescent="0.25">
      <c r="A56" s="17"/>
      <c r="B56" s="79"/>
      <c r="C56" s="19"/>
      <c r="D56" s="20"/>
      <c r="E56" s="21"/>
      <c r="F56" s="22"/>
      <c r="G56" s="23"/>
    </row>
    <row r="57" spans="1:7" ht="19.95" customHeight="1" x14ac:dyDescent="0.35">
      <c r="C57" s="40"/>
      <c r="D57" s="41"/>
      <c r="E57" s="42"/>
      <c r="F57" s="43"/>
      <c r="G57" s="23"/>
    </row>
    <row r="58" spans="1:7" ht="19.95" customHeight="1" x14ac:dyDescent="0.35">
      <c r="A58" s="13">
        <v>2</v>
      </c>
      <c r="B58" s="14" t="s">
        <v>32</v>
      </c>
      <c r="C58" s="7"/>
      <c r="D58" s="8"/>
      <c r="E58" s="9"/>
      <c r="F58" s="10"/>
      <c r="G58" s="11"/>
    </row>
    <row r="59" spans="1:7" s="24" customFormat="1" ht="19.95" customHeight="1" x14ac:dyDescent="0.25">
      <c r="A59" s="16"/>
      <c r="B59" s="14" t="s">
        <v>33</v>
      </c>
      <c r="C59" s="7"/>
      <c r="D59" s="8"/>
      <c r="E59" s="9"/>
      <c r="F59" s="10"/>
      <c r="G59" s="11"/>
    </row>
    <row r="60" spans="1:7" s="24" customFormat="1" ht="19.95" customHeight="1" x14ac:dyDescent="0.25">
      <c r="A60" s="17"/>
      <c r="B60" s="38" t="s">
        <v>34</v>
      </c>
      <c r="C60" s="40"/>
      <c r="D60" s="41"/>
      <c r="E60" s="42">
        <f>A58*1</f>
        <v>2</v>
      </c>
      <c r="F60" s="43"/>
      <c r="G60" s="23"/>
    </row>
    <row r="61" spans="1:7" ht="19.95" customHeight="1" x14ac:dyDescent="0.35">
      <c r="B61" s="38" t="s">
        <v>35</v>
      </c>
      <c r="C61" s="40"/>
      <c r="D61" s="42">
        <f>A58*1</f>
        <v>2</v>
      </c>
      <c r="E61" s="42"/>
      <c r="F61" s="43"/>
      <c r="G61" s="23"/>
    </row>
    <row r="62" spans="1:7" ht="19.95" customHeight="1" x14ac:dyDescent="0.35">
      <c r="B62" s="38" t="s">
        <v>36</v>
      </c>
      <c r="C62" s="42">
        <f>D61</f>
        <v>2</v>
      </c>
      <c r="D62" s="41"/>
      <c r="E62" s="42"/>
      <c r="F62" s="43"/>
      <c r="G62" s="23"/>
    </row>
    <row r="63" spans="1:7" s="24" customFormat="1" ht="19.95" customHeight="1" x14ac:dyDescent="0.25">
      <c r="A63" s="17"/>
      <c r="B63" s="38"/>
      <c r="C63" s="42"/>
      <c r="D63" s="41"/>
      <c r="E63" s="42"/>
      <c r="F63" s="43"/>
      <c r="G63" s="23"/>
    </row>
    <row r="64" spans="1:7" s="24" customFormat="1" ht="19.95" customHeight="1" x14ac:dyDescent="0.25">
      <c r="A64" s="13">
        <v>2</v>
      </c>
      <c r="B64" s="14" t="s">
        <v>37</v>
      </c>
      <c r="C64" s="7"/>
      <c r="D64" s="8"/>
      <c r="E64" s="9"/>
      <c r="F64" s="10"/>
      <c r="G64" s="11"/>
    </row>
    <row r="65" spans="1:7" s="24" customFormat="1" ht="19.95" customHeight="1" x14ac:dyDescent="0.25">
      <c r="A65" s="16"/>
      <c r="B65" s="14"/>
      <c r="C65" s="7"/>
      <c r="D65" s="8"/>
      <c r="E65" s="9"/>
      <c r="F65" s="10"/>
      <c r="G65" s="11"/>
    </row>
    <row r="66" spans="1:7" s="24" customFormat="1" ht="19.95" customHeight="1" x14ac:dyDescent="0.25">
      <c r="A66" s="17"/>
      <c r="B66" s="38" t="s">
        <v>38</v>
      </c>
      <c r="C66" s="40">
        <f>A64</f>
        <v>2</v>
      </c>
      <c r="D66" s="41"/>
      <c r="E66" s="42"/>
      <c r="F66" s="43"/>
      <c r="G66" s="23"/>
    </row>
    <row r="67" spans="1:7" ht="19.95" customHeight="1" x14ac:dyDescent="0.35">
      <c r="B67" s="38" t="s">
        <v>39</v>
      </c>
      <c r="C67" s="40">
        <f>A64</f>
        <v>2</v>
      </c>
      <c r="D67" s="41"/>
      <c r="E67" s="42"/>
      <c r="F67" s="43"/>
      <c r="G67" s="23"/>
    </row>
    <row r="68" spans="1:7" ht="19.95" customHeight="1" x14ac:dyDescent="0.35">
      <c r="A68" s="13">
        <v>1</v>
      </c>
      <c r="B68" s="14" t="s">
        <v>37</v>
      </c>
      <c r="C68" s="7"/>
      <c r="D68" s="8"/>
      <c r="E68" s="9"/>
      <c r="F68" s="10"/>
      <c r="G68" s="11"/>
    </row>
    <row r="69" spans="1:7" s="24" customFormat="1" ht="19.95" customHeight="1" x14ac:dyDescent="0.25">
      <c r="A69" s="16"/>
      <c r="B69" s="14"/>
      <c r="C69" s="7"/>
      <c r="D69" s="8"/>
      <c r="E69" s="9"/>
      <c r="F69" s="10"/>
      <c r="G69" s="11"/>
    </row>
    <row r="70" spans="1:7" s="24" customFormat="1" ht="19.95" customHeight="1" x14ac:dyDescent="0.25">
      <c r="A70" s="17"/>
      <c r="B70" s="38" t="s">
        <v>38</v>
      </c>
      <c r="C70" s="40">
        <v>1</v>
      </c>
      <c r="D70" s="41"/>
      <c r="E70" s="42"/>
      <c r="F70" s="43"/>
      <c r="G70" s="23"/>
    </row>
    <row r="71" spans="1:7" customFormat="1" ht="19.95" customHeight="1" x14ac:dyDescent="0.25">
      <c r="A71" s="17"/>
      <c r="B71" s="38" t="s">
        <v>39</v>
      </c>
      <c r="C71" s="40">
        <v>1</v>
      </c>
      <c r="D71" s="41"/>
      <c r="E71" s="42"/>
      <c r="F71" s="43"/>
      <c r="G71" s="23"/>
    </row>
    <row r="72" spans="1:7" customFormat="1" ht="19.95" customHeight="1" x14ac:dyDescent="0.25">
      <c r="A72" s="17"/>
      <c r="B72" s="38"/>
      <c r="C72" s="40"/>
      <c r="D72" s="41"/>
      <c r="E72" s="42"/>
      <c r="F72" s="43"/>
      <c r="G72" s="23"/>
    </row>
    <row r="73" spans="1:7" customFormat="1" ht="19.95" customHeight="1" x14ac:dyDescent="0.25">
      <c r="A73" s="13">
        <v>1</v>
      </c>
      <c r="B73" s="14" t="s">
        <v>40</v>
      </c>
      <c r="C73" s="7"/>
      <c r="D73" s="8"/>
      <c r="E73" s="9"/>
      <c r="F73" s="10"/>
      <c r="G73" s="11"/>
    </row>
    <row r="74" spans="1:7" customFormat="1" ht="19.95" customHeight="1" x14ac:dyDescent="0.25">
      <c r="A74" s="16"/>
      <c r="B74" s="14"/>
      <c r="C74" s="7"/>
      <c r="D74" s="8"/>
      <c r="E74" s="9"/>
      <c r="F74" s="10"/>
      <c r="G74" s="11"/>
    </row>
    <row r="75" spans="1:7" customFormat="1" ht="19.95" customHeight="1" x14ac:dyDescent="0.25">
      <c r="A75" s="17"/>
      <c r="B75" s="38" t="s">
        <v>41</v>
      </c>
      <c r="C75" s="40">
        <v>1</v>
      </c>
      <c r="D75" s="41"/>
      <c r="E75" s="42"/>
      <c r="F75" s="43"/>
      <c r="G75" s="23"/>
    </row>
    <row r="76" spans="1:7" ht="19.95" customHeight="1" x14ac:dyDescent="0.35">
      <c r="B76" s="38" t="s">
        <v>42</v>
      </c>
      <c r="C76" s="40">
        <v>1</v>
      </c>
      <c r="D76" s="41"/>
      <c r="E76" s="42"/>
      <c r="F76" s="43"/>
      <c r="G76" s="23"/>
    </row>
    <row r="77" spans="1:7" ht="19.95" customHeight="1" x14ac:dyDescent="0.35">
      <c r="C77" s="40"/>
      <c r="D77" s="41"/>
      <c r="E77" s="42"/>
      <c r="F77" s="43"/>
      <c r="G77" s="23"/>
    </row>
    <row r="78" spans="1:7" s="24" customFormat="1" ht="19.95" customHeight="1" x14ac:dyDescent="0.25">
      <c r="A78" s="13">
        <v>2</v>
      </c>
      <c r="B78" s="14" t="s">
        <v>340</v>
      </c>
      <c r="C78" s="7"/>
      <c r="D78" s="8"/>
      <c r="E78" s="9"/>
      <c r="F78" s="10"/>
      <c r="G78" s="11"/>
    </row>
    <row r="79" spans="1:7" s="24" customFormat="1" ht="19.95" customHeight="1" x14ac:dyDescent="0.25">
      <c r="A79" s="16"/>
      <c r="B79" s="14"/>
      <c r="C79" s="7"/>
      <c r="D79" s="8"/>
      <c r="E79" s="9"/>
      <c r="F79" s="10"/>
      <c r="G79" s="11"/>
    </row>
    <row r="80" spans="1:7" s="24" customFormat="1" ht="19.95" customHeight="1" x14ac:dyDescent="0.25">
      <c r="A80" s="17"/>
      <c r="B80" s="38" t="s">
        <v>43</v>
      </c>
      <c r="C80" s="40">
        <f>A78*1</f>
        <v>2</v>
      </c>
      <c r="D80" s="41"/>
      <c r="E80" s="42"/>
      <c r="F80" s="43"/>
      <c r="G80" s="23"/>
    </row>
    <row r="81" spans="1:7" ht="19.95" customHeight="1" x14ac:dyDescent="0.35">
      <c r="A81" s="16"/>
      <c r="B81" s="28"/>
      <c r="C81" s="40"/>
      <c r="D81" s="41"/>
      <c r="E81" s="42"/>
      <c r="F81" s="43"/>
      <c r="G81" s="23"/>
    </row>
    <row r="82" spans="1:7" ht="19.95" customHeight="1" x14ac:dyDescent="0.35">
      <c r="A82" s="44"/>
      <c r="B82" s="45" t="s">
        <v>10</v>
      </c>
      <c r="C82" s="46">
        <f>SUM(C46:C81)</f>
        <v>21</v>
      </c>
      <c r="D82" s="46">
        <f>SUM(D46:D81)</f>
        <v>5</v>
      </c>
      <c r="E82" s="46">
        <f>SUM(E46:E81)</f>
        <v>23</v>
      </c>
      <c r="F82" s="46">
        <f>SUM(F46:F81)</f>
        <v>3</v>
      </c>
      <c r="G82" s="46">
        <f>SUM(G46:G81)</f>
        <v>0</v>
      </c>
    </row>
    <row r="83" spans="1:7" s="24" customFormat="1" ht="13.2" customHeight="1" x14ac:dyDescent="0.25">
      <c r="A83" s="16"/>
      <c r="B83" s="28"/>
      <c r="C83" s="49"/>
      <c r="D83" s="49"/>
      <c r="E83" s="50"/>
      <c r="F83" s="49"/>
      <c r="G83" s="49"/>
    </row>
    <row r="84" spans="1:7" s="33" customFormat="1" ht="40.799999999999997" customHeight="1" x14ac:dyDescent="0.25">
      <c r="A84" s="75" t="s">
        <v>11</v>
      </c>
      <c r="B84" s="2" t="s">
        <v>1</v>
      </c>
      <c r="C84" s="90" t="s">
        <v>2</v>
      </c>
      <c r="D84" s="90"/>
      <c r="E84" s="90"/>
      <c r="F84" s="90"/>
      <c r="G84" s="90"/>
    </row>
    <row r="85" spans="1:7" s="24" customFormat="1" ht="123" customHeight="1" x14ac:dyDescent="0.25">
      <c r="A85" s="1"/>
      <c r="B85" s="6" t="s">
        <v>44</v>
      </c>
      <c r="C85" s="7" t="s">
        <v>4</v>
      </c>
      <c r="D85" s="8" t="s">
        <v>5</v>
      </c>
      <c r="E85" s="9" t="s">
        <v>6</v>
      </c>
      <c r="F85" s="10" t="s">
        <v>7</v>
      </c>
      <c r="G85" s="11" t="s">
        <v>8</v>
      </c>
    </row>
    <row r="86" spans="1:7" customFormat="1" ht="19.95" customHeight="1" x14ac:dyDescent="0.25">
      <c r="A86" s="13">
        <v>1</v>
      </c>
      <c r="B86" s="14" t="s">
        <v>40</v>
      </c>
      <c r="C86" s="7"/>
      <c r="D86" s="8"/>
      <c r="E86" s="9"/>
      <c r="F86" s="10"/>
      <c r="G86" s="11"/>
    </row>
    <row r="87" spans="1:7" customFormat="1" ht="19.95" customHeight="1" x14ac:dyDescent="0.25">
      <c r="A87" s="16"/>
      <c r="B87" s="14"/>
      <c r="C87" s="7"/>
      <c r="D87" s="8"/>
      <c r="E87" s="9"/>
      <c r="F87" s="10"/>
      <c r="G87" s="11"/>
    </row>
    <row r="88" spans="1:7" s="12" customFormat="1" ht="19.95" customHeight="1" x14ac:dyDescent="0.3">
      <c r="A88" s="17"/>
      <c r="B88" s="38" t="s">
        <v>41</v>
      </c>
      <c r="C88" s="40">
        <v>1</v>
      </c>
      <c r="D88" s="41"/>
      <c r="E88" s="42"/>
      <c r="F88" s="43"/>
      <c r="G88" s="23"/>
    </row>
    <row r="89" spans="1:7" ht="19.95" customHeight="1" x14ac:dyDescent="0.35">
      <c r="B89" s="38" t="s">
        <v>42</v>
      </c>
      <c r="C89" s="40">
        <v>1</v>
      </c>
      <c r="D89" s="41"/>
      <c r="E89" s="42"/>
      <c r="F89" s="43"/>
      <c r="G89" s="23"/>
    </row>
    <row r="90" spans="1:7" ht="19.95" customHeight="1" x14ac:dyDescent="0.35">
      <c r="A90" s="16"/>
      <c r="B90" s="28"/>
      <c r="C90" s="16"/>
      <c r="D90" s="29"/>
      <c r="E90" s="30"/>
      <c r="F90" s="31"/>
      <c r="G90" s="32"/>
    </row>
    <row r="91" spans="1:7" s="24" customFormat="1" ht="19.95" customHeight="1" x14ac:dyDescent="0.25">
      <c r="A91" s="13">
        <v>1</v>
      </c>
      <c r="B91" s="14" t="s">
        <v>340</v>
      </c>
      <c r="C91" s="7"/>
      <c r="D91" s="8"/>
      <c r="E91" s="9"/>
      <c r="F91" s="10"/>
      <c r="G91" s="11"/>
    </row>
    <row r="92" spans="1:7" s="24" customFormat="1" ht="19.95" customHeight="1" x14ac:dyDescent="0.25">
      <c r="A92" s="16"/>
      <c r="B92" s="14"/>
      <c r="C92" s="7"/>
      <c r="D92" s="8"/>
      <c r="E92" s="9"/>
      <c r="F92" s="10"/>
      <c r="G92" s="11"/>
    </row>
    <row r="93" spans="1:7" s="33" customFormat="1" ht="19.95" customHeight="1" x14ac:dyDescent="0.25">
      <c r="A93" s="17"/>
      <c r="B93" s="51" t="s">
        <v>43</v>
      </c>
      <c r="C93" s="40">
        <v>1</v>
      </c>
      <c r="D93" s="41"/>
      <c r="E93" s="42"/>
      <c r="F93" s="43"/>
      <c r="G93" s="23"/>
    </row>
    <row r="94" spans="1:7" ht="19.95" customHeight="1" x14ac:dyDescent="0.35">
      <c r="A94" s="16"/>
      <c r="B94" s="28"/>
      <c r="C94" s="16"/>
      <c r="D94" s="29"/>
      <c r="E94" s="30"/>
      <c r="F94" s="31"/>
      <c r="G94" s="32"/>
    </row>
    <row r="95" spans="1:7" ht="19.95" customHeight="1" x14ac:dyDescent="0.35">
      <c r="A95" s="13">
        <v>1</v>
      </c>
      <c r="B95" s="14" t="s">
        <v>45</v>
      </c>
      <c r="C95" s="7"/>
      <c r="D95" s="8"/>
      <c r="E95" s="9"/>
      <c r="F95" s="10"/>
      <c r="G95" s="11"/>
    </row>
    <row r="96" spans="1:7" s="24" customFormat="1" ht="19.95" customHeight="1" x14ac:dyDescent="0.25">
      <c r="A96" s="16"/>
      <c r="B96" s="14"/>
      <c r="C96" s="7"/>
      <c r="D96" s="8"/>
      <c r="E96" s="9"/>
      <c r="F96" s="10"/>
      <c r="G96" s="11"/>
    </row>
    <row r="97" spans="1:7" s="33" customFormat="1" ht="19.95" customHeight="1" x14ac:dyDescent="0.25">
      <c r="A97" s="17"/>
      <c r="B97" s="38" t="s">
        <v>41</v>
      </c>
      <c r="C97" s="40">
        <v>1</v>
      </c>
      <c r="D97" s="41"/>
      <c r="E97" s="42"/>
      <c r="F97" s="43"/>
      <c r="G97" s="23"/>
    </row>
    <row r="98" spans="1:7" ht="19.95" customHeight="1" x14ac:dyDescent="0.35">
      <c r="B98" s="38" t="s">
        <v>46</v>
      </c>
      <c r="C98" s="40">
        <v>1</v>
      </c>
      <c r="D98" s="41"/>
      <c r="E98" s="42"/>
      <c r="F98" s="43"/>
      <c r="G98" s="23"/>
    </row>
    <row r="99" spans="1:7" ht="19.95" customHeight="1" x14ac:dyDescent="0.35">
      <c r="A99" s="16"/>
      <c r="B99" s="28"/>
      <c r="C99" s="16"/>
      <c r="D99" s="29"/>
      <c r="E99" s="30"/>
      <c r="F99" s="31"/>
      <c r="G99" s="32"/>
    </row>
    <row r="100" spans="1:7" s="24" customFormat="1" ht="19.95" customHeight="1" x14ac:dyDescent="0.25">
      <c r="A100" s="13">
        <v>3</v>
      </c>
      <c r="B100" s="14" t="s">
        <v>341</v>
      </c>
      <c r="C100" s="7"/>
      <c r="D100" s="8"/>
      <c r="E100" s="9"/>
      <c r="F100" s="10"/>
      <c r="G100" s="11"/>
    </row>
    <row r="101" spans="1:7" s="24" customFormat="1" ht="19.95" customHeight="1" x14ac:dyDescent="0.25">
      <c r="A101" s="16"/>
      <c r="B101" s="14"/>
      <c r="C101" s="7"/>
      <c r="D101" s="8"/>
      <c r="E101" s="9"/>
      <c r="F101" s="10"/>
      <c r="G101" s="11"/>
    </row>
    <row r="102" spans="1:7" s="33" customFormat="1" ht="19.95" customHeight="1" x14ac:dyDescent="0.25">
      <c r="A102" s="17"/>
      <c r="B102" s="38" t="s">
        <v>41</v>
      </c>
      <c r="C102" s="40">
        <f>A100</f>
        <v>3</v>
      </c>
      <c r="D102" s="41"/>
      <c r="E102" s="42"/>
      <c r="F102" s="43"/>
      <c r="G102" s="23"/>
    </row>
    <row r="103" spans="1:7" ht="19.95" customHeight="1" x14ac:dyDescent="0.35">
      <c r="C103" s="40"/>
      <c r="D103" s="41"/>
      <c r="E103" s="42"/>
      <c r="F103" s="43"/>
      <c r="G103" s="23"/>
    </row>
    <row r="104" spans="1:7" ht="19.95" customHeight="1" x14ac:dyDescent="0.35">
      <c r="A104" s="13">
        <v>3</v>
      </c>
      <c r="B104" s="14" t="s">
        <v>342</v>
      </c>
      <c r="C104" s="7"/>
      <c r="D104" s="8"/>
      <c r="E104" s="9"/>
      <c r="F104" s="10"/>
      <c r="G104" s="11"/>
    </row>
    <row r="105" spans="1:7" s="24" customFormat="1" ht="19.95" customHeight="1" x14ac:dyDescent="0.25">
      <c r="A105" s="16"/>
      <c r="B105" s="14"/>
      <c r="C105" s="7"/>
      <c r="D105" s="8"/>
      <c r="E105" s="9"/>
      <c r="F105" s="10"/>
      <c r="G105" s="11"/>
    </row>
    <row r="106" spans="1:7" s="24" customFormat="1" ht="19.95" customHeight="1" x14ac:dyDescent="0.25">
      <c r="A106" s="17"/>
      <c r="B106" s="38" t="s">
        <v>41</v>
      </c>
      <c r="C106" s="40">
        <f>A104</f>
        <v>3</v>
      </c>
      <c r="D106" s="41"/>
      <c r="E106" s="42"/>
      <c r="F106" s="43"/>
      <c r="G106" s="23"/>
    </row>
    <row r="107" spans="1:7" s="24" customFormat="1" ht="19.95" customHeight="1" x14ac:dyDescent="0.25">
      <c r="A107" s="17"/>
      <c r="B107" s="38"/>
      <c r="C107" s="40"/>
      <c r="D107" s="41"/>
      <c r="E107" s="42"/>
      <c r="F107" s="43"/>
      <c r="G107" s="23"/>
    </row>
    <row r="108" spans="1:7" s="24" customFormat="1" ht="19.95" customHeight="1" x14ac:dyDescent="0.25">
      <c r="A108" s="13">
        <v>1</v>
      </c>
      <c r="B108" s="14" t="s">
        <v>343</v>
      </c>
      <c r="C108" s="7"/>
      <c r="D108" s="8"/>
      <c r="E108" s="9"/>
      <c r="F108" s="10"/>
      <c r="G108" s="11"/>
    </row>
    <row r="109" spans="1:7" s="24" customFormat="1" ht="19.95" customHeight="1" x14ac:dyDescent="0.25">
      <c r="A109" s="16"/>
      <c r="B109" s="14"/>
      <c r="C109" s="7"/>
      <c r="D109" s="8"/>
      <c r="E109" s="9"/>
      <c r="F109" s="10"/>
      <c r="G109" s="11"/>
    </row>
    <row r="110" spans="1:7" s="24" customFormat="1" ht="19.95" customHeight="1" x14ac:dyDescent="0.25">
      <c r="A110" s="17"/>
      <c r="B110" s="38" t="s">
        <v>344</v>
      </c>
      <c r="C110" s="40">
        <f>1*A108</f>
        <v>1</v>
      </c>
      <c r="D110" s="41"/>
      <c r="E110" s="42"/>
      <c r="F110" s="43"/>
      <c r="G110" s="23"/>
    </row>
    <row r="111" spans="1:7" s="24" customFormat="1" ht="19.95" customHeight="1" x14ac:dyDescent="0.25">
      <c r="A111" s="17"/>
      <c r="B111" s="38"/>
      <c r="C111" s="40"/>
      <c r="D111" s="41"/>
      <c r="E111" s="42"/>
      <c r="F111" s="43"/>
      <c r="G111" s="23"/>
    </row>
    <row r="112" spans="1:7" s="24" customFormat="1" ht="19.95" customHeight="1" x14ac:dyDescent="0.25">
      <c r="A112" s="13">
        <v>5</v>
      </c>
      <c r="B112" s="14" t="s">
        <v>343</v>
      </c>
      <c r="C112" s="7"/>
      <c r="D112" s="8"/>
      <c r="E112" s="9"/>
      <c r="F112" s="10"/>
      <c r="G112" s="11"/>
    </row>
    <row r="113" spans="1:7" s="24" customFormat="1" ht="19.95" customHeight="1" x14ac:dyDescent="0.25">
      <c r="A113" s="16"/>
      <c r="B113" s="14"/>
      <c r="C113" s="7"/>
      <c r="D113" s="8"/>
      <c r="E113" s="9"/>
      <c r="F113" s="10"/>
      <c r="G113" s="11"/>
    </row>
    <row r="114" spans="1:7" s="24" customFormat="1" ht="19.95" customHeight="1" x14ac:dyDescent="0.25">
      <c r="A114" s="17"/>
      <c r="B114" s="38" t="s">
        <v>344</v>
      </c>
      <c r="C114" s="40">
        <f>1*A112</f>
        <v>5</v>
      </c>
      <c r="D114" s="41"/>
      <c r="E114" s="42"/>
      <c r="F114" s="43"/>
      <c r="G114" s="23"/>
    </row>
    <row r="115" spans="1:7" s="24" customFormat="1" ht="19.95" customHeight="1" x14ac:dyDescent="0.25">
      <c r="A115" s="17"/>
      <c r="B115" s="38"/>
      <c r="C115" s="40"/>
      <c r="D115" s="41"/>
      <c r="E115" s="42"/>
      <c r="F115" s="43"/>
      <c r="G115" s="23"/>
    </row>
    <row r="116" spans="1:7" ht="19.95" customHeight="1" x14ac:dyDescent="0.35">
      <c r="A116" s="13">
        <v>1</v>
      </c>
      <c r="B116" s="14" t="s">
        <v>32</v>
      </c>
      <c r="C116" s="7"/>
      <c r="D116" s="8"/>
      <c r="E116" s="9"/>
      <c r="F116" s="10"/>
      <c r="G116" s="11"/>
    </row>
    <row r="117" spans="1:7" s="24" customFormat="1" ht="19.95" customHeight="1" x14ac:dyDescent="0.25">
      <c r="A117" s="16"/>
      <c r="B117" s="14" t="s">
        <v>47</v>
      </c>
      <c r="C117" s="7"/>
      <c r="D117" s="8"/>
      <c r="E117" s="9"/>
      <c r="F117" s="10"/>
      <c r="G117" s="11"/>
    </row>
    <row r="118" spans="1:7" s="33" customFormat="1" ht="19.95" customHeight="1" x14ac:dyDescent="0.25">
      <c r="A118" s="17"/>
      <c r="B118" s="38" t="s">
        <v>34</v>
      </c>
      <c r="C118" s="40"/>
      <c r="D118" s="41"/>
      <c r="E118" s="42">
        <v>1</v>
      </c>
      <c r="F118" s="43"/>
      <c r="G118" s="23"/>
    </row>
    <row r="119" spans="1:7" ht="19.95" customHeight="1" x14ac:dyDescent="0.35">
      <c r="B119" s="38" t="s">
        <v>35</v>
      </c>
      <c r="C119" s="40"/>
      <c r="D119" s="41">
        <v>1</v>
      </c>
      <c r="E119" s="42"/>
      <c r="F119" s="43"/>
      <c r="G119" s="23"/>
    </row>
    <row r="120" spans="1:7" ht="19.95" customHeight="1" x14ac:dyDescent="0.35">
      <c r="B120" s="38" t="s">
        <v>36</v>
      </c>
      <c r="C120" s="40">
        <v>1</v>
      </c>
      <c r="D120" s="41"/>
      <c r="E120" s="42"/>
      <c r="F120" s="43"/>
      <c r="G120" s="23"/>
    </row>
    <row r="121" spans="1:7" s="24" customFormat="1" ht="19.95" customHeight="1" x14ac:dyDescent="0.25">
      <c r="A121" s="16"/>
      <c r="B121" s="28"/>
      <c r="C121" s="16"/>
      <c r="D121" s="29"/>
      <c r="E121" s="30"/>
      <c r="F121" s="31"/>
      <c r="G121" s="32"/>
    </row>
    <row r="122" spans="1:7" s="24" customFormat="1" ht="19.95" customHeight="1" x14ac:dyDescent="0.25">
      <c r="A122" s="13">
        <v>1</v>
      </c>
      <c r="B122" s="14" t="s">
        <v>25</v>
      </c>
      <c r="C122" s="7"/>
      <c r="D122" s="8"/>
      <c r="E122" s="9"/>
      <c r="F122" s="10"/>
      <c r="G122" s="11"/>
    </row>
    <row r="123" spans="1:7" s="24" customFormat="1" ht="19.95" customHeight="1" x14ac:dyDescent="0.25">
      <c r="A123" s="16"/>
      <c r="B123" s="14" t="s">
        <v>48</v>
      </c>
      <c r="C123" s="7"/>
      <c r="D123" s="8"/>
      <c r="E123" s="9"/>
      <c r="F123" s="10"/>
      <c r="G123" s="11"/>
    </row>
    <row r="124" spans="1:7" s="33" customFormat="1" ht="19.95" customHeight="1" x14ac:dyDescent="0.25">
      <c r="A124" s="17"/>
      <c r="B124" s="38" t="s">
        <v>26</v>
      </c>
      <c r="C124" s="40">
        <v>1</v>
      </c>
      <c r="D124" s="41"/>
      <c r="E124" s="42"/>
      <c r="F124" s="43"/>
      <c r="G124" s="23"/>
    </row>
    <row r="125" spans="1:7" ht="19.95" customHeight="1" x14ac:dyDescent="0.35">
      <c r="B125" s="38" t="s">
        <v>27</v>
      </c>
      <c r="C125" s="40">
        <v>1</v>
      </c>
      <c r="D125" s="41"/>
      <c r="E125" s="42"/>
      <c r="F125" s="43"/>
      <c r="G125" s="23"/>
    </row>
    <row r="126" spans="1:7" ht="19.95" customHeight="1" x14ac:dyDescent="0.35">
      <c r="A126" s="16"/>
      <c r="B126" s="28"/>
      <c r="C126" s="16"/>
      <c r="D126" s="29"/>
      <c r="E126" s="30"/>
      <c r="F126" s="31"/>
      <c r="G126" s="32"/>
    </row>
    <row r="127" spans="1:7" s="24" customFormat="1" ht="19.95" customHeight="1" x14ac:dyDescent="0.25">
      <c r="A127" s="13">
        <v>2</v>
      </c>
      <c r="B127" s="14" t="s">
        <v>345</v>
      </c>
      <c r="C127" s="7"/>
      <c r="D127" s="8"/>
      <c r="E127" s="9"/>
      <c r="F127" s="10"/>
      <c r="G127" s="11"/>
    </row>
    <row r="128" spans="1:7" s="24" customFormat="1" ht="19.95" customHeight="1" x14ac:dyDescent="0.25">
      <c r="A128" s="16"/>
      <c r="B128" s="14"/>
      <c r="C128" s="7"/>
      <c r="D128" s="8"/>
      <c r="E128" s="9"/>
      <c r="F128" s="10"/>
      <c r="G128" s="11"/>
    </row>
    <row r="129" spans="1:7" s="33" customFormat="1" ht="19.95" customHeight="1" x14ac:dyDescent="0.25">
      <c r="A129" s="17"/>
      <c r="B129" s="38" t="s">
        <v>43</v>
      </c>
      <c r="C129" s="40">
        <f>1*A127</f>
        <v>2</v>
      </c>
      <c r="D129" s="41"/>
      <c r="E129" s="42"/>
      <c r="F129" s="43"/>
      <c r="G129" s="23"/>
    </row>
    <row r="130" spans="1:7" ht="19.95" customHeight="1" x14ac:dyDescent="0.35">
      <c r="A130" s="16"/>
      <c r="B130" s="28"/>
      <c r="C130" s="16"/>
      <c r="D130" s="29"/>
      <c r="E130" s="30"/>
      <c r="F130" s="31"/>
      <c r="G130" s="32"/>
    </row>
    <row r="131" spans="1:7" ht="19.95" customHeight="1" x14ac:dyDescent="0.35">
      <c r="A131" s="44"/>
      <c r="B131" s="45" t="s">
        <v>10</v>
      </c>
      <c r="C131" s="46">
        <f>SUM(C88:C129)</f>
        <v>22</v>
      </c>
      <c r="D131" s="46">
        <f>SUM(D88:D129)</f>
        <v>1</v>
      </c>
      <c r="E131" s="46">
        <f>SUM(E88:E129)</f>
        <v>1</v>
      </c>
      <c r="F131" s="46">
        <f>SUM(F88:F129)</f>
        <v>0</v>
      </c>
      <c r="G131" s="46">
        <f>SUM(G88:G129)</f>
        <v>0</v>
      </c>
    </row>
    <row r="132" spans="1:7" s="24" customFormat="1" ht="13.2" customHeight="1" x14ac:dyDescent="0.25">
      <c r="A132" s="16"/>
      <c r="B132" s="28"/>
      <c r="C132" s="49"/>
      <c r="D132" s="49"/>
      <c r="E132" s="50"/>
      <c r="F132" s="49"/>
      <c r="G132" s="49"/>
    </row>
    <row r="133" spans="1:7" s="33" customFormat="1" ht="42.6" customHeight="1" x14ac:dyDescent="0.25">
      <c r="A133" s="75" t="s">
        <v>11</v>
      </c>
      <c r="B133" s="2" t="s">
        <v>1</v>
      </c>
      <c r="C133" s="90" t="s">
        <v>2</v>
      </c>
      <c r="D133" s="90"/>
      <c r="E133" s="90"/>
      <c r="F133" s="90"/>
      <c r="G133" s="90"/>
    </row>
    <row r="134" spans="1:7" s="24" customFormat="1" ht="96.6" customHeight="1" x14ac:dyDescent="0.25">
      <c r="A134" s="1"/>
      <c r="B134" s="6" t="s">
        <v>49</v>
      </c>
      <c r="C134" s="7" t="s">
        <v>4</v>
      </c>
      <c r="D134" s="8" t="s">
        <v>5</v>
      </c>
      <c r="E134" s="9" t="s">
        <v>6</v>
      </c>
      <c r="F134" s="10" t="s">
        <v>7</v>
      </c>
      <c r="G134" s="11" t="s">
        <v>8</v>
      </c>
    </row>
    <row r="135" spans="1:7" customFormat="1" ht="19.95" customHeight="1" x14ac:dyDescent="0.25">
      <c r="A135" s="13">
        <v>1</v>
      </c>
      <c r="B135" s="14" t="s">
        <v>25</v>
      </c>
      <c r="C135" s="7"/>
      <c r="D135" s="8"/>
      <c r="E135" s="9"/>
      <c r="F135" s="10"/>
      <c r="G135" s="11"/>
    </row>
    <row r="136" spans="1:7" s="24" customFormat="1" ht="19.95" customHeight="1" x14ac:dyDescent="0.25">
      <c r="A136" s="16"/>
      <c r="B136" s="14" t="s">
        <v>50</v>
      </c>
      <c r="C136" s="7"/>
      <c r="D136" s="8"/>
      <c r="E136" s="9"/>
      <c r="F136" s="10"/>
      <c r="G136" s="11"/>
    </row>
    <row r="137" spans="1:7" s="12" customFormat="1" ht="19.95" customHeight="1" x14ac:dyDescent="0.3">
      <c r="A137" s="17"/>
      <c r="B137" s="38" t="s">
        <v>26</v>
      </c>
      <c r="C137" s="40">
        <f>1*A135</f>
        <v>1</v>
      </c>
      <c r="D137" s="41"/>
      <c r="E137" s="42"/>
      <c r="F137" s="43"/>
      <c r="G137" s="23"/>
    </row>
    <row r="138" spans="1:7" ht="19.95" customHeight="1" x14ac:dyDescent="0.35">
      <c r="B138" s="38" t="s">
        <v>27</v>
      </c>
      <c r="C138" s="40">
        <f>1*A135</f>
        <v>1</v>
      </c>
      <c r="D138" s="41"/>
      <c r="E138" s="42"/>
      <c r="F138" s="43"/>
      <c r="G138" s="23"/>
    </row>
    <row r="139" spans="1:7" ht="19.95" customHeight="1" x14ac:dyDescent="0.35">
      <c r="A139" s="16"/>
      <c r="B139" s="28"/>
      <c r="C139" s="16"/>
      <c r="D139" s="29"/>
      <c r="E139" s="30"/>
      <c r="F139" s="31"/>
      <c r="G139" s="32"/>
    </row>
    <row r="140" spans="1:7" s="24" customFormat="1" ht="19.95" customHeight="1" x14ac:dyDescent="0.25">
      <c r="A140" s="13">
        <v>1</v>
      </c>
      <c r="B140" s="14" t="s">
        <v>29</v>
      </c>
      <c r="C140" s="7"/>
      <c r="D140" s="8"/>
      <c r="E140" s="9"/>
      <c r="F140" s="10"/>
      <c r="G140" s="11"/>
    </row>
    <row r="141" spans="1:7" s="24" customFormat="1" ht="19.95" customHeight="1" x14ac:dyDescent="0.25">
      <c r="A141" s="16"/>
      <c r="B141" s="14" t="s">
        <v>51</v>
      </c>
      <c r="C141" s="7"/>
      <c r="D141" s="8"/>
      <c r="E141" s="9"/>
      <c r="F141" s="10"/>
      <c r="G141" s="11"/>
    </row>
    <row r="142" spans="1:7" s="33" customFormat="1" ht="19.95" customHeight="1" x14ac:dyDescent="0.25">
      <c r="A142" s="17"/>
      <c r="B142" s="38" t="s">
        <v>26</v>
      </c>
      <c r="C142" s="40">
        <f>1*A140</f>
        <v>1</v>
      </c>
      <c r="D142" s="41"/>
      <c r="E142" s="42"/>
      <c r="F142" s="43"/>
      <c r="G142" s="23"/>
    </row>
    <row r="143" spans="1:7" s="33" customFormat="1" ht="19.95" customHeight="1" x14ac:dyDescent="0.25">
      <c r="A143" s="17"/>
      <c r="B143" s="38" t="s">
        <v>27</v>
      </c>
      <c r="C143" s="40">
        <f>1*A140</f>
        <v>1</v>
      </c>
      <c r="D143" s="41"/>
      <c r="E143" s="42"/>
      <c r="F143" s="43"/>
      <c r="G143" s="23"/>
    </row>
    <row r="144" spans="1:7" s="33" customFormat="1" ht="19.95" customHeight="1" x14ac:dyDescent="0.25">
      <c r="A144" s="16"/>
      <c r="B144" s="28"/>
      <c r="C144" s="16"/>
      <c r="D144" s="29"/>
      <c r="E144" s="30"/>
      <c r="F144" s="31"/>
      <c r="G144" s="32"/>
    </row>
    <row r="145" spans="1:7" s="33" customFormat="1" ht="19.95" customHeight="1" x14ac:dyDescent="0.25">
      <c r="A145" s="13">
        <v>2</v>
      </c>
      <c r="B145" s="14" t="s">
        <v>343</v>
      </c>
      <c r="C145" s="7"/>
      <c r="D145" s="8"/>
      <c r="E145" s="9"/>
      <c r="F145" s="10"/>
      <c r="G145" s="11"/>
    </row>
    <row r="146" spans="1:7" s="33" customFormat="1" ht="19.95" customHeight="1" x14ac:dyDescent="0.25">
      <c r="A146" s="16"/>
      <c r="B146" s="14"/>
      <c r="C146" s="7"/>
      <c r="D146" s="8"/>
      <c r="E146" s="9"/>
      <c r="F146" s="10"/>
      <c r="G146" s="11"/>
    </row>
    <row r="147" spans="1:7" s="33" customFormat="1" ht="19.95" customHeight="1" x14ac:dyDescent="0.25">
      <c r="A147" s="17"/>
      <c r="B147" s="38" t="s">
        <v>344</v>
      </c>
      <c r="C147" s="40">
        <f>1*A145</f>
        <v>2</v>
      </c>
      <c r="D147" s="41"/>
      <c r="E147" s="42"/>
      <c r="F147" s="43"/>
      <c r="G147" s="23"/>
    </row>
    <row r="148" spans="1:7" s="33" customFormat="1" ht="19.95" customHeight="1" x14ac:dyDescent="0.25">
      <c r="A148" s="16"/>
      <c r="B148" s="28"/>
      <c r="C148" s="16"/>
      <c r="D148" s="29"/>
      <c r="E148" s="30"/>
      <c r="F148" s="31"/>
      <c r="G148" s="32"/>
    </row>
    <row r="149" spans="1:7" s="33" customFormat="1" ht="19.95" customHeight="1" x14ac:dyDescent="0.25">
      <c r="A149" s="13">
        <v>14</v>
      </c>
      <c r="B149" s="14" t="s">
        <v>343</v>
      </c>
      <c r="C149" s="7"/>
      <c r="D149" s="8"/>
      <c r="E149" s="9"/>
      <c r="F149" s="10"/>
      <c r="G149" s="11"/>
    </row>
    <row r="150" spans="1:7" s="33" customFormat="1" ht="19.95" customHeight="1" x14ac:dyDescent="0.25">
      <c r="A150" s="16"/>
      <c r="B150" s="14"/>
      <c r="C150" s="7"/>
      <c r="D150" s="8"/>
      <c r="E150" s="9"/>
      <c r="F150" s="10"/>
      <c r="G150" s="11"/>
    </row>
    <row r="151" spans="1:7" s="33" customFormat="1" ht="19.95" customHeight="1" x14ac:dyDescent="0.25">
      <c r="A151" s="17"/>
      <c r="B151" s="38" t="s">
        <v>344</v>
      </c>
      <c r="C151" s="40">
        <f>1*A149</f>
        <v>14</v>
      </c>
      <c r="D151" s="41"/>
      <c r="E151" s="42"/>
      <c r="F151" s="43"/>
      <c r="G151" s="23"/>
    </row>
    <row r="152" spans="1:7" ht="19.95" customHeight="1" x14ac:dyDescent="0.35">
      <c r="A152" s="16"/>
      <c r="B152" s="28"/>
      <c r="C152" s="16"/>
      <c r="D152" s="29"/>
      <c r="E152" s="30"/>
      <c r="F152" s="31"/>
      <c r="G152" s="32"/>
    </row>
    <row r="153" spans="1:7" ht="19.95" customHeight="1" x14ac:dyDescent="0.35">
      <c r="A153" s="13">
        <v>3</v>
      </c>
      <c r="B153" s="14" t="s">
        <v>345</v>
      </c>
      <c r="C153" s="7"/>
      <c r="D153" s="8"/>
      <c r="E153" s="9"/>
      <c r="F153" s="10"/>
      <c r="G153" s="11"/>
    </row>
    <row r="154" spans="1:7" s="24" customFormat="1" ht="19.95" customHeight="1" x14ac:dyDescent="0.25">
      <c r="A154" s="16"/>
      <c r="B154" s="14"/>
      <c r="C154" s="7"/>
      <c r="D154" s="8"/>
      <c r="E154" s="9"/>
      <c r="F154" s="10"/>
      <c r="G154" s="11"/>
    </row>
    <row r="155" spans="1:7" s="33" customFormat="1" ht="19.95" customHeight="1" x14ac:dyDescent="0.25">
      <c r="A155" s="17"/>
      <c r="B155" s="38" t="s">
        <v>43</v>
      </c>
      <c r="C155" s="40">
        <f>1*A153</f>
        <v>3</v>
      </c>
      <c r="D155" s="41"/>
      <c r="E155" s="42"/>
      <c r="F155" s="43"/>
      <c r="G155" s="23"/>
    </row>
    <row r="156" spans="1:7" ht="19.95" customHeight="1" x14ac:dyDescent="0.35">
      <c r="C156" s="40"/>
      <c r="D156" s="41"/>
      <c r="E156" s="42"/>
      <c r="F156" s="43"/>
      <c r="G156" s="23"/>
    </row>
    <row r="157" spans="1:7" ht="19.95" customHeight="1" x14ac:dyDescent="0.35">
      <c r="A157" s="13">
        <v>1</v>
      </c>
      <c r="B157" s="14" t="s">
        <v>52</v>
      </c>
      <c r="C157" s="7"/>
      <c r="D157" s="8"/>
      <c r="E157" s="9"/>
      <c r="F157" s="10"/>
      <c r="G157" s="11"/>
    </row>
    <row r="158" spans="1:7" s="24" customFormat="1" ht="19.95" customHeight="1" x14ac:dyDescent="0.25">
      <c r="A158" s="16"/>
      <c r="B158" s="14"/>
      <c r="C158" s="7"/>
      <c r="D158" s="8"/>
      <c r="E158" s="9"/>
      <c r="F158" s="10"/>
      <c r="G158" s="11"/>
    </row>
    <row r="159" spans="1:7" s="24" customFormat="1" ht="19.95" customHeight="1" x14ac:dyDescent="0.25">
      <c r="A159" s="17"/>
      <c r="B159" s="38" t="s">
        <v>53</v>
      </c>
      <c r="C159" s="40">
        <v>1</v>
      </c>
      <c r="D159" s="41"/>
      <c r="E159" s="42"/>
      <c r="F159" s="43"/>
      <c r="G159" s="23"/>
    </row>
    <row r="160" spans="1:7" s="24" customFormat="1" ht="19.95" customHeight="1" x14ac:dyDescent="0.25">
      <c r="A160" s="17"/>
      <c r="B160" s="38" t="s">
        <v>54</v>
      </c>
      <c r="C160" s="40">
        <v>1</v>
      </c>
      <c r="D160" s="41"/>
      <c r="E160" s="42"/>
      <c r="F160" s="43"/>
      <c r="G160" s="23"/>
    </row>
    <row r="161" spans="1:7" s="24" customFormat="1" ht="19.95" customHeight="1" x14ac:dyDescent="0.25">
      <c r="A161" s="17"/>
      <c r="B161" s="38" t="s">
        <v>55</v>
      </c>
      <c r="C161" s="40">
        <v>1</v>
      </c>
      <c r="D161" s="41"/>
      <c r="E161" s="42"/>
      <c r="F161" s="43"/>
      <c r="G161" s="23"/>
    </row>
    <row r="162" spans="1:7" s="24" customFormat="1" ht="19.95" customHeight="1" x14ac:dyDescent="0.25">
      <c r="A162" s="16"/>
      <c r="B162" s="28"/>
      <c r="C162" s="16"/>
      <c r="D162" s="29"/>
      <c r="E162" s="30"/>
      <c r="F162" s="31"/>
      <c r="G162" s="32"/>
    </row>
    <row r="163" spans="1:7" s="24" customFormat="1" ht="19.95" customHeight="1" x14ac:dyDescent="0.25">
      <c r="A163" s="44"/>
      <c r="B163" s="45" t="s">
        <v>10</v>
      </c>
      <c r="C163" s="46">
        <f>SUM(C137:C162)</f>
        <v>26</v>
      </c>
      <c r="D163" s="46">
        <f>SUM(D137:D155)</f>
        <v>0</v>
      </c>
      <c r="E163" s="46">
        <f>SUM(E137:E155)</f>
        <v>0</v>
      </c>
      <c r="F163" s="46">
        <f>SUM(F137:F155)</f>
        <v>0</v>
      </c>
      <c r="G163" s="46">
        <f>SUM(G137:G155)</f>
        <v>0</v>
      </c>
    </row>
    <row r="164" spans="1:7" s="24" customFormat="1" ht="19.95" customHeight="1" x14ac:dyDescent="0.25">
      <c r="A164" s="16"/>
      <c r="B164" s="28"/>
      <c r="C164" s="49"/>
      <c r="D164" s="49"/>
      <c r="E164" s="50"/>
      <c r="F164" s="49"/>
      <c r="G164" s="49"/>
    </row>
    <row r="165" spans="1:7" s="33" customFormat="1" ht="12.6" customHeight="1" x14ac:dyDescent="0.25">
      <c r="A165" s="16"/>
      <c r="B165" s="28"/>
      <c r="C165" s="49"/>
      <c r="D165" s="49"/>
      <c r="E165" s="50"/>
      <c r="F165" s="49"/>
      <c r="G165" s="49"/>
    </row>
    <row r="166" spans="1:7" s="24" customFormat="1" ht="42" customHeight="1" x14ac:dyDescent="0.25">
      <c r="A166" s="75" t="s">
        <v>56</v>
      </c>
      <c r="B166" s="2" t="s">
        <v>1</v>
      </c>
      <c r="C166" s="90" t="s">
        <v>2</v>
      </c>
      <c r="D166" s="90"/>
      <c r="E166" s="90"/>
      <c r="F166" s="90"/>
      <c r="G166" s="90"/>
    </row>
    <row r="167" spans="1:7" customFormat="1" ht="103.8" customHeight="1" x14ac:dyDescent="0.25">
      <c r="A167" s="1"/>
      <c r="B167" s="6" t="s">
        <v>57</v>
      </c>
      <c r="C167" s="7" t="s">
        <v>4</v>
      </c>
      <c r="D167" s="8" t="s">
        <v>5</v>
      </c>
      <c r="E167" s="9" t="s">
        <v>6</v>
      </c>
      <c r="F167" s="10" t="s">
        <v>7</v>
      </c>
      <c r="G167" s="11" t="s">
        <v>8</v>
      </c>
    </row>
    <row r="168" spans="1:7" customFormat="1" ht="19.95" customHeight="1" x14ac:dyDescent="0.25">
      <c r="A168" s="13">
        <v>2</v>
      </c>
      <c r="B168" s="14" t="s">
        <v>25</v>
      </c>
      <c r="C168" s="7"/>
      <c r="D168" s="8"/>
      <c r="E168" s="9"/>
      <c r="F168" s="10"/>
      <c r="G168" s="11"/>
    </row>
    <row r="169" spans="1:7" s="24" customFormat="1" ht="19.95" customHeight="1" x14ac:dyDescent="0.25">
      <c r="A169" s="16"/>
      <c r="B169" s="14" t="s">
        <v>346</v>
      </c>
      <c r="C169" s="7"/>
      <c r="D169" s="8"/>
      <c r="E169" s="9"/>
      <c r="F169" s="10"/>
      <c r="G169" s="11"/>
    </row>
    <row r="170" spans="1:7" s="12" customFormat="1" ht="19.95" customHeight="1" x14ac:dyDescent="0.3">
      <c r="A170" s="17"/>
      <c r="B170" s="38" t="s">
        <v>26</v>
      </c>
      <c r="C170" s="40">
        <f>1*A168</f>
        <v>2</v>
      </c>
      <c r="D170" s="41"/>
      <c r="E170" s="42"/>
      <c r="F170" s="43"/>
      <c r="G170" s="23"/>
    </row>
    <row r="171" spans="1:7" ht="19.95" customHeight="1" x14ac:dyDescent="0.35">
      <c r="B171" s="38" t="s">
        <v>27</v>
      </c>
      <c r="C171" s="40">
        <f>1*A168</f>
        <v>2</v>
      </c>
      <c r="D171" s="41"/>
      <c r="E171" s="42"/>
      <c r="F171" s="43"/>
      <c r="G171" s="23"/>
    </row>
    <row r="172" spans="1:7" ht="19.95" customHeight="1" x14ac:dyDescent="0.35">
      <c r="A172" s="16"/>
      <c r="B172" s="28"/>
      <c r="C172" s="16"/>
      <c r="D172" s="29"/>
      <c r="E172" s="30"/>
      <c r="F172" s="31"/>
      <c r="G172" s="32"/>
    </row>
    <row r="173" spans="1:7" ht="19.95" customHeight="1" x14ac:dyDescent="0.35">
      <c r="A173" s="13">
        <v>2</v>
      </c>
      <c r="B173" s="14" t="s">
        <v>343</v>
      </c>
      <c r="C173" s="7"/>
      <c r="D173" s="8"/>
      <c r="E173" s="9"/>
      <c r="F173" s="10"/>
      <c r="G173" s="11"/>
    </row>
    <row r="174" spans="1:7" ht="19.95" customHeight="1" x14ac:dyDescent="0.35">
      <c r="A174" s="16"/>
      <c r="B174" s="14"/>
      <c r="C174" s="7"/>
      <c r="D174" s="8"/>
      <c r="E174" s="9"/>
      <c r="F174" s="10"/>
      <c r="G174" s="11"/>
    </row>
    <row r="175" spans="1:7" ht="19.95" customHeight="1" x14ac:dyDescent="0.35">
      <c r="A175" s="52"/>
      <c r="B175" s="38" t="s">
        <v>344</v>
      </c>
      <c r="C175" s="40">
        <f>1*A173</f>
        <v>2</v>
      </c>
      <c r="D175" s="41"/>
      <c r="E175" s="42"/>
      <c r="F175" s="43"/>
      <c r="G175" s="23"/>
    </row>
    <row r="176" spans="1:7" ht="19.95" customHeight="1" x14ac:dyDescent="0.35">
      <c r="A176" s="16"/>
      <c r="B176" s="28"/>
      <c r="C176" s="16"/>
      <c r="D176" s="29"/>
      <c r="E176" s="30"/>
      <c r="F176" s="31"/>
      <c r="G176" s="32"/>
    </row>
    <row r="177" spans="1:7" s="24" customFormat="1" ht="19.95" customHeight="1" x14ac:dyDescent="0.25">
      <c r="A177" s="13">
        <v>12</v>
      </c>
      <c r="B177" s="14" t="s">
        <v>343</v>
      </c>
      <c r="C177" s="7"/>
      <c r="D177" s="8"/>
      <c r="E177" s="9"/>
      <c r="F177" s="10"/>
      <c r="G177" s="11"/>
    </row>
    <row r="178" spans="1:7" s="24" customFormat="1" ht="19.95" customHeight="1" x14ac:dyDescent="0.25">
      <c r="A178" s="16"/>
      <c r="B178" s="14"/>
      <c r="C178" s="7"/>
      <c r="D178" s="8"/>
      <c r="E178" s="9"/>
      <c r="F178" s="10"/>
      <c r="G178" s="11"/>
    </row>
    <row r="179" spans="1:7" s="33" customFormat="1" ht="19.95" customHeight="1" x14ac:dyDescent="0.25">
      <c r="A179" s="52"/>
      <c r="B179" s="38" t="s">
        <v>344</v>
      </c>
      <c r="C179" s="40">
        <f>1*A177</f>
        <v>12</v>
      </c>
      <c r="D179" s="41"/>
      <c r="E179" s="42"/>
      <c r="F179" s="43"/>
      <c r="G179" s="23"/>
    </row>
    <row r="180" spans="1:7" ht="19.95" customHeight="1" x14ac:dyDescent="0.35">
      <c r="A180" s="16"/>
      <c r="B180" s="28"/>
      <c r="C180" s="16"/>
      <c r="D180" s="29"/>
      <c r="E180" s="30"/>
      <c r="F180" s="31"/>
      <c r="G180" s="32"/>
    </row>
    <row r="181" spans="1:7" ht="19.95" customHeight="1" x14ac:dyDescent="0.35">
      <c r="A181" s="13">
        <v>2</v>
      </c>
      <c r="B181" s="14" t="s">
        <v>340</v>
      </c>
      <c r="C181" s="7"/>
      <c r="D181" s="8"/>
      <c r="E181" s="9"/>
      <c r="F181" s="10"/>
      <c r="G181" s="11"/>
    </row>
    <row r="182" spans="1:7" s="24" customFormat="1" ht="19.95" customHeight="1" x14ac:dyDescent="0.25">
      <c r="A182" s="16"/>
      <c r="B182" s="14"/>
      <c r="C182" s="7"/>
      <c r="D182" s="8"/>
      <c r="E182" s="9"/>
      <c r="F182" s="10"/>
      <c r="G182" s="11"/>
    </row>
    <row r="183" spans="1:7" s="33" customFormat="1" ht="19.95" customHeight="1" x14ac:dyDescent="0.25">
      <c r="A183" s="17"/>
      <c r="B183" s="38" t="s">
        <v>43</v>
      </c>
      <c r="C183" s="40">
        <v>2</v>
      </c>
      <c r="D183" s="41"/>
      <c r="E183" s="42"/>
      <c r="F183" s="43"/>
      <c r="G183" s="23"/>
    </row>
    <row r="184" spans="1:7" ht="19.95" customHeight="1" x14ac:dyDescent="0.35">
      <c r="A184" s="16"/>
      <c r="B184" s="28"/>
      <c r="C184" s="16"/>
      <c r="D184" s="29"/>
      <c r="E184" s="30"/>
      <c r="F184" s="31"/>
      <c r="G184" s="32"/>
    </row>
    <row r="185" spans="1:7" ht="19.95" customHeight="1" x14ac:dyDescent="0.35">
      <c r="A185" s="13">
        <v>1</v>
      </c>
      <c r="B185" s="14" t="s">
        <v>29</v>
      </c>
      <c r="C185" s="7"/>
      <c r="D185" s="8"/>
      <c r="E185" s="9"/>
      <c r="F185" s="10"/>
      <c r="G185" s="11"/>
    </row>
    <row r="186" spans="1:7" s="24" customFormat="1" ht="19.95" customHeight="1" x14ac:dyDescent="0.25">
      <c r="A186" s="16"/>
      <c r="B186" s="14" t="s">
        <v>58</v>
      </c>
      <c r="C186" s="7"/>
      <c r="D186" s="8"/>
      <c r="E186" s="9"/>
      <c r="F186" s="10"/>
      <c r="G186" s="11"/>
    </row>
    <row r="187" spans="1:7" s="33" customFormat="1" ht="19.95" customHeight="1" x14ac:dyDescent="0.25">
      <c r="A187" s="17"/>
      <c r="B187" s="38" t="s">
        <v>26</v>
      </c>
      <c r="C187" s="40">
        <v>1</v>
      </c>
      <c r="D187" s="41"/>
      <c r="E187" s="42"/>
      <c r="F187" s="43"/>
      <c r="G187" s="23"/>
    </row>
    <row r="188" spans="1:7" ht="19.95" customHeight="1" x14ac:dyDescent="0.35">
      <c r="B188" s="38" t="s">
        <v>27</v>
      </c>
      <c r="C188" s="40">
        <v>1</v>
      </c>
      <c r="D188" s="41"/>
      <c r="E188" s="42"/>
      <c r="F188" s="43"/>
      <c r="G188" s="23"/>
    </row>
    <row r="189" spans="1:7" ht="19.95" customHeight="1" x14ac:dyDescent="0.35">
      <c r="A189" s="16"/>
      <c r="B189" s="28"/>
      <c r="C189" s="16"/>
      <c r="D189" s="29"/>
      <c r="E189" s="30"/>
      <c r="F189" s="31"/>
      <c r="G189" s="32"/>
    </row>
    <row r="190" spans="1:7" s="24" customFormat="1" ht="19.95" customHeight="1" x14ac:dyDescent="0.25">
      <c r="A190" s="13">
        <v>1</v>
      </c>
      <c r="B190" s="14" t="s">
        <v>59</v>
      </c>
      <c r="C190" s="7"/>
      <c r="D190" s="8"/>
      <c r="E190" s="9"/>
      <c r="F190" s="10"/>
      <c r="G190" s="11"/>
    </row>
    <row r="191" spans="1:7" s="24" customFormat="1" ht="19.95" customHeight="1" x14ac:dyDescent="0.25">
      <c r="A191" s="16"/>
      <c r="B191" s="14" t="s">
        <v>60</v>
      </c>
      <c r="C191" s="7"/>
      <c r="D191" s="8"/>
      <c r="E191" s="9"/>
      <c r="F191" s="10"/>
      <c r="G191" s="11"/>
    </row>
    <row r="192" spans="1:7" s="33" customFormat="1" ht="19.95" customHeight="1" x14ac:dyDescent="0.25">
      <c r="A192" s="17"/>
      <c r="B192" s="38" t="s">
        <v>26</v>
      </c>
      <c r="C192" s="40">
        <v>1</v>
      </c>
      <c r="D192" s="41"/>
      <c r="E192" s="42"/>
      <c r="F192" s="43"/>
      <c r="G192" s="23"/>
    </row>
    <row r="193" spans="1:7" ht="19.95" customHeight="1" x14ac:dyDescent="0.35">
      <c r="B193" s="38" t="s">
        <v>27</v>
      </c>
      <c r="C193" s="40">
        <v>1</v>
      </c>
      <c r="D193" s="41"/>
      <c r="E193" s="42"/>
      <c r="F193" s="43"/>
      <c r="G193" s="23"/>
    </row>
    <row r="194" spans="1:7" ht="19.95" customHeight="1" x14ac:dyDescent="0.35">
      <c r="A194" s="16"/>
      <c r="B194" s="28"/>
      <c r="C194" s="16"/>
      <c r="D194" s="29"/>
      <c r="E194" s="30"/>
      <c r="F194" s="31"/>
      <c r="G194" s="32"/>
    </row>
    <row r="195" spans="1:7" s="24" customFormat="1" ht="19.95" customHeight="1" x14ac:dyDescent="0.25">
      <c r="A195" s="13">
        <v>3</v>
      </c>
      <c r="B195" s="14" t="s">
        <v>32</v>
      </c>
      <c r="C195" s="7"/>
      <c r="D195" s="8"/>
      <c r="E195" s="9"/>
      <c r="F195" s="10"/>
      <c r="G195" s="11"/>
    </row>
    <row r="196" spans="1:7" s="24" customFormat="1" ht="19.95" customHeight="1" x14ac:dyDescent="0.25">
      <c r="A196" s="16"/>
      <c r="B196" s="14" t="s">
        <v>347</v>
      </c>
      <c r="C196" s="7"/>
      <c r="D196" s="8"/>
      <c r="E196" s="9"/>
      <c r="F196" s="10"/>
      <c r="G196" s="11"/>
    </row>
    <row r="197" spans="1:7" s="33" customFormat="1" ht="19.95" customHeight="1" x14ac:dyDescent="0.25">
      <c r="A197" s="17"/>
      <c r="B197" s="38" t="s">
        <v>34</v>
      </c>
      <c r="C197" s="40"/>
      <c r="D197" s="41"/>
      <c r="E197" s="42">
        <f>1*A195</f>
        <v>3</v>
      </c>
      <c r="F197" s="43"/>
      <c r="G197" s="23"/>
    </row>
    <row r="198" spans="1:7" ht="19.95" customHeight="1" x14ac:dyDescent="0.35">
      <c r="B198" s="38" t="s">
        <v>35</v>
      </c>
      <c r="C198" s="40"/>
      <c r="D198" s="41">
        <f>1*A195</f>
        <v>3</v>
      </c>
      <c r="E198" s="42"/>
      <c r="F198" s="43"/>
      <c r="G198" s="23"/>
    </row>
    <row r="199" spans="1:7" ht="19.95" customHeight="1" x14ac:dyDescent="0.35">
      <c r="B199" s="38" t="s">
        <v>36</v>
      </c>
      <c r="C199" s="40">
        <f>1*A195</f>
        <v>3</v>
      </c>
      <c r="D199" s="41"/>
      <c r="E199" s="42"/>
      <c r="F199" s="43"/>
      <c r="G199" s="23"/>
    </row>
    <row r="200" spans="1:7" s="24" customFormat="1" ht="19.95" customHeight="1" x14ac:dyDescent="0.25">
      <c r="A200" s="16"/>
      <c r="B200" s="28"/>
      <c r="C200" s="16"/>
      <c r="D200" s="29"/>
      <c r="E200" s="30"/>
      <c r="F200" s="31"/>
      <c r="G200" s="32"/>
    </row>
    <row r="201" spans="1:7" s="24" customFormat="1" ht="19.95" customHeight="1" x14ac:dyDescent="0.25">
      <c r="A201" s="13">
        <v>1</v>
      </c>
      <c r="B201" s="14" t="s">
        <v>258</v>
      </c>
      <c r="C201" s="7"/>
      <c r="D201" s="8"/>
      <c r="E201" s="9"/>
      <c r="F201" s="10"/>
      <c r="G201" s="11"/>
    </row>
    <row r="202" spans="1:7" s="24" customFormat="1" ht="19.95" customHeight="1" x14ac:dyDescent="0.25">
      <c r="A202" s="16"/>
      <c r="B202" s="14"/>
      <c r="C202" s="7"/>
      <c r="D202" s="8"/>
      <c r="E202" s="9"/>
      <c r="F202" s="10"/>
      <c r="G202" s="11"/>
    </row>
    <row r="203" spans="1:7" s="33" customFormat="1" ht="19.95" customHeight="1" x14ac:dyDescent="0.25">
      <c r="A203" s="17"/>
      <c r="B203" s="38" t="s">
        <v>28</v>
      </c>
      <c r="C203" s="40">
        <v>1</v>
      </c>
      <c r="D203" s="41"/>
      <c r="E203" s="42"/>
      <c r="F203" s="43"/>
      <c r="G203" s="23"/>
    </row>
    <row r="204" spans="1:7" ht="19.95" customHeight="1" x14ac:dyDescent="0.35">
      <c r="A204" s="16"/>
      <c r="B204" s="28"/>
      <c r="C204" s="16"/>
      <c r="D204" s="29"/>
      <c r="E204" s="30"/>
      <c r="F204" s="31"/>
      <c r="G204" s="32"/>
    </row>
    <row r="205" spans="1:7" ht="19.95" customHeight="1" x14ac:dyDescent="0.35">
      <c r="A205" s="13">
        <v>2</v>
      </c>
      <c r="B205" s="14" t="s">
        <v>61</v>
      </c>
      <c r="C205" s="7"/>
      <c r="D205" s="8"/>
      <c r="E205" s="9"/>
      <c r="F205" s="10"/>
      <c r="G205" s="11"/>
    </row>
    <row r="206" spans="1:7" s="24" customFormat="1" ht="19.95" customHeight="1" x14ac:dyDescent="0.25">
      <c r="A206" s="16"/>
      <c r="B206" s="14"/>
      <c r="C206" s="7"/>
      <c r="D206" s="8"/>
      <c r="E206" s="9"/>
      <c r="F206" s="10"/>
      <c r="G206" s="11"/>
    </row>
    <row r="207" spans="1:7" s="33" customFormat="1" ht="19.95" customHeight="1" x14ac:dyDescent="0.25">
      <c r="A207" s="17"/>
      <c r="B207" s="38" t="s">
        <v>46</v>
      </c>
      <c r="C207" s="40">
        <f>1*A205</f>
        <v>2</v>
      </c>
      <c r="D207" s="41"/>
      <c r="E207" s="42"/>
      <c r="F207" s="43"/>
      <c r="G207" s="23"/>
    </row>
    <row r="208" spans="1:7" ht="19.95" customHeight="1" x14ac:dyDescent="0.35">
      <c r="A208" s="52"/>
      <c r="B208" s="38" t="s">
        <v>41</v>
      </c>
      <c r="C208" s="40">
        <f>1*A205</f>
        <v>2</v>
      </c>
      <c r="D208" s="41"/>
      <c r="E208" s="42"/>
      <c r="F208" s="43"/>
      <c r="G208" s="23"/>
    </row>
    <row r="209" spans="1:7" ht="19.95" customHeight="1" x14ac:dyDescent="0.35">
      <c r="A209" s="52"/>
      <c r="C209" s="40"/>
      <c r="D209" s="41"/>
      <c r="E209" s="42"/>
      <c r="F209" s="43"/>
      <c r="G209" s="23"/>
    </row>
    <row r="210" spans="1:7" s="24" customFormat="1" ht="19.95" customHeight="1" x14ac:dyDescent="0.25">
      <c r="A210" s="13">
        <v>1</v>
      </c>
      <c r="B210" s="14" t="s">
        <v>62</v>
      </c>
      <c r="C210" s="7"/>
      <c r="D210" s="8"/>
      <c r="E210" s="9"/>
      <c r="F210" s="10"/>
      <c r="G210" s="11"/>
    </row>
    <row r="211" spans="1:7" s="24" customFormat="1" ht="19.95" customHeight="1" x14ac:dyDescent="0.25">
      <c r="A211" s="16"/>
      <c r="B211" s="14"/>
      <c r="C211" s="7"/>
      <c r="D211" s="8"/>
      <c r="E211" s="9"/>
      <c r="F211" s="10"/>
      <c r="G211" s="11"/>
    </row>
    <row r="212" spans="1:7" s="24" customFormat="1" ht="19.95" customHeight="1" x14ac:dyDescent="0.25">
      <c r="A212" s="17"/>
      <c r="B212" s="38" t="s">
        <v>53</v>
      </c>
      <c r="C212" s="40">
        <v>1</v>
      </c>
      <c r="D212" s="41"/>
      <c r="E212" s="42"/>
      <c r="F212" s="43"/>
      <c r="G212" s="23"/>
    </row>
    <row r="213" spans="1:7" s="24" customFormat="1" ht="19.95" customHeight="1" x14ac:dyDescent="0.25">
      <c r="A213" s="17"/>
      <c r="B213" s="38" t="s">
        <v>54</v>
      </c>
      <c r="C213" s="40">
        <v>1</v>
      </c>
      <c r="D213" s="41"/>
      <c r="E213" s="42"/>
      <c r="F213" s="43"/>
      <c r="G213" s="23"/>
    </row>
    <row r="214" spans="1:7" s="24" customFormat="1" ht="19.95" customHeight="1" x14ac:dyDescent="0.25">
      <c r="A214" s="17"/>
      <c r="B214" s="38" t="s">
        <v>55</v>
      </c>
      <c r="C214" s="40">
        <v>1</v>
      </c>
      <c r="D214" s="41"/>
      <c r="E214" s="42"/>
      <c r="F214" s="43"/>
      <c r="G214" s="23"/>
    </row>
    <row r="215" spans="1:7" s="24" customFormat="1" ht="19.95" customHeight="1" x14ac:dyDescent="0.25">
      <c r="A215" s="16"/>
      <c r="B215" s="28"/>
      <c r="C215" s="16"/>
      <c r="D215" s="29"/>
      <c r="E215" s="30"/>
      <c r="F215" s="31"/>
      <c r="G215" s="32"/>
    </row>
    <row r="216" spans="1:7" s="24" customFormat="1" ht="19.95" customHeight="1" x14ac:dyDescent="0.25">
      <c r="A216" s="44"/>
      <c r="B216" s="45" t="s">
        <v>10</v>
      </c>
      <c r="C216" s="46">
        <f>SUM(C170:C215)</f>
        <v>35</v>
      </c>
      <c r="D216" s="46">
        <f>SUM(D170:D215)</f>
        <v>3</v>
      </c>
      <c r="E216" s="46">
        <f>SUM(E170:E215)</f>
        <v>3</v>
      </c>
      <c r="F216" s="46">
        <f>SUM(F170:F215)</f>
        <v>0</v>
      </c>
      <c r="G216" s="46">
        <f>SUM(G170:G215)</f>
        <v>0</v>
      </c>
    </row>
    <row r="217" spans="1:7" s="24" customFormat="1" ht="19.95" customHeight="1" x14ac:dyDescent="0.25">
      <c r="A217" s="16"/>
      <c r="B217" s="28"/>
      <c r="C217" s="49"/>
      <c r="D217" s="20"/>
      <c r="E217" s="50"/>
      <c r="F217" s="49"/>
      <c r="G217" s="49"/>
    </row>
    <row r="218" spans="1:7" s="24" customFormat="1" ht="19.95" customHeight="1" x14ac:dyDescent="0.25">
      <c r="A218" s="75" t="s">
        <v>56</v>
      </c>
      <c r="B218" s="2" t="s">
        <v>1</v>
      </c>
      <c r="C218" s="90" t="s">
        <v>2</v>
      </c>
      <c r="D218" s="90"/>
      <c r="E218" s="90"/>
      <c r="F218" s="90"/>
      <c r="G218" s="90"/>
    </row>
    <row r="219" spans="1:7" s="24" customFormat="1" ht="106.2" customHeight="1" x14ac:dyDescent="0.25">
      <c r="A219" s="1"/>
      <c r="B219" s="6" t="s">
        <v>63</v>
      </c>
      <c r="C219" s="7" t="s">
        <v>4</v>
      </c>
      <c r="D219" s="8" t="s">
        <v>5</v>
      </c>
      <c r="E219" s="9" t="s">
        <v>6</v>
      </c>
      <c r="F219" s="10" t="s">
        <v>7</v>
      </c>
      <c r="G219" s="11" t="s">
        <v>8</v>
      </c>
    </row>
    <row r="220" spans="1:7" customFormat="1" ht="19.95" customHeight="1" x14ac:dyDescent="0.25">
      <c r="A220" s="13">
        <v>3</v>
      </c>
      <c r="B220" s="14" t="s">
        <v>25</v>
      </c>
      <c r="C220" s="7"/>
      <c r="D220" s="8"/>
      <c r="E220" s="9"/>
      <c r="F220" s="10"/>
      <c r="G220" s="11"/>
    </row>
    <row r="221" spans="1:7" s="24" customFormat="1" ht="19.95" customHeight="1" x14ac:dyDescent="0.25">
      <c r="A221" s="16"/>
      <c r="B221" s="14" t="s">
        <v>64</v>
      </c>
      <c r="C221" s="7"/>
      <c r="D221" s="8"/>
      <c r="E221" s="9"/>
      <c r="F221" s="10"/>
      <c r="G221" s="11"/>
    </row>
    <row r="222" spans="1:7" s="12" customFormat="1" ht="19.95" customHeight="1" x14ac:dyDescent="0.3">
      <c r="A222" s="17"/>
      <c r="B222" s="38" t="s">
        <v>26</v>
      </c>
      <c r="C222" s="40">
        <f>1*A220</f>
        <v>3</v>
      </c>
      <c r="D222" s="41"/>
      <c r="E222" s="42"/>
      <c r="F222" s="43"/>
      <c r="G222" s="23"/>
    </row>
    <row r="223" spans="1:7" ht="19.95" customHeight="1" x14ac:dyDescent="0.35">
      <c r="B223" s="38" t="s">
        <v>27</v>
      </c>
      <c r="C223" s="40">
        <f>1*A220</f>
        <v>3</v>
      </c>
      <c r="D223" s="41"/>
      <c r="E223" s="42"/>
      <c r="F223" s="43"/>
      <c r="G223" s="23"/>
    </row>
    <row r="224" spans="1:7" ht="19.95" customHeight="1" x14ac:dyDescent="0.35">
      <c r="A224" s="16"/>
      <c r="B224" s="28"/>
      <c r="C224" s="16"/>
      <c r="D224" s="29"/>
      <c r="E224" s="30"/>
      <c r="F224" s="31"/>
      <c r="G224" s="32"/>
    </row>
    <row r="225" spans="1:7" s="24" customFormat="1" ht="19.95" customHeight="1" x14ac:dyDescent="0.25">
      <c r="A225" s="13">
        <v>1</v>
      </c>
      <c r="B225" s="14" t="s">
        <v>29</v>
      </c>
      <c r="C225" s="7"/>
      <c r="D225" s="8"/>
      <c r="E225" s="9"/>
      <c r="F225" s="10"/>
      <c r="G225" s="11"/>
    </row>
    <row r="226" spans="1:7" s="24" customFormat="1" ht="19.95" customHeight="1" x14ac:dyDescent="0.25">
      <c r="A226" s="16"/>
      <c r="B226" s="14" t="s">
        <v>65</v>
      </c>
      <c r="C226" s="7"/>
      <c r="D226" s="8"/>
      <c r="E226" s="9"/>
      <c r="F226" s="10"/>
      <c r="G226" s="11"/>
    </row>
    <row r="227" spans="1:7" s="33" customFormat="1" ht="19.95" customHeight="1" x14ac:dyDescent="0.25">
      <c r="A227" s="17"/>
      <c r="B227" s="38" t="s">
        <v>26</v>
      </c>
      <c r="C227" s="40">
        <v>1</v>
      </c>
      <c r="D227" s="41"/>
      <c r="E227" s="42"/>
      <c r="F227" s="43"/>
      <c r="G227" s="23"/>
    </row>
    <row r="228" spans="1:7" ht="19.95" customHeight="1" x14ac:dyDescent="0.35">
      <c r="B228" s="38" t="s">
        <v>27</v>
      </c>
      <c r="C228" s="40">
        <v>1</v>
      </c>
      <c r="D228" s="41"/>
      <c r="E228" s="42"/>
      <c r="F228" s="43"/>
      <c r="G228" s="23"/>
    </row>
    <row r="229" spans="1:7" ht="19.95" customHeight="1" x14ac:dyDescent="0.35">
      <c r="A229" s="16"/>
      <c r="B229" s="28"/>
      <c r="C229" s="16"/>
      <c r="D229" s="29"/>
      <c r="E229" s="30"/>
      <c r="F229" s="31"/>
      <c r="G229" s="32"/>
    </row>
    <row r="230" spans="1:7" ht="19.95" customHeight="1" x14ac:dyDescent="0.35">
      <c r="A230" s="13">
        <v>2</v>
      </c>
      <c r="B230" s="14" t="s">
        <v>343</v>
      </c>
      <c r="C230" s="7"/>
      <c r="D230" s="8"/>
      <c r="E230" s="9"/>
      <c r="F230" s="10"/>
      <c r="G230" s="11"/>
    </row>
    <row r="231" spans="1:7" ht="19.95" customHeight="1" x14ac:dyDescent="0.35">
      <c r="A231" s="16"/>
      <c r="B231" s="14"/>
      <c r="C231" s="7"/>
      <c r="D231" s="8"/>
      <c r="E231" s="9"/>
      <c r="F231" s="10"/>
      <c r="G231" s="11"/>
    </row>
    <row r="232" spans="1:7" ht="19.95" customHeight="1" x14ac:dyDescent="0.35">
      <c r="B232" s="38" t="s">
        <v>344</v>
      </c>
      <c r="C232" s="40">
        <f>1*A230</f>
        <v>2</v>
      </c>
      <c r="D232" s="41"/>
      <c r="E232" s="42"/>
      <c r="F232" s="43"/>
      <c r="G232" s="23"/>
    </row>
    <row r="233" spans="1:7" ht="19.95" customHeight="1" x14ac:dyDescent="0.35">
      <c r="C233" s="40"/>
      <c r="D233" s="41"/>
      <c r="E233" s="42"/>
      <c r="F233" s="43"/>
      <c r="G233" s="23"/>
    </row>
    <row r="234" spans="1:7" s="24" customFormat="1" ht="19.95" customHeight="1" x14ac:dyDescent="0.25">
      <c r="A234" s="13">
        <v>16</v>
      </c>
      <c r="B234" s="14" t="s">
        <v>343</v>
      </c>
      <c r="C234" s="7"/>
      <c r="D234" s="8"/>
      <c r="E234" s="9"/>
      <c r="F234" s="10"/>
      <c r="G234" s="11"/>
    </row>
    <row r="235" spans="1:7" s="24" customFormat="1" ht="19.95" customHeight="1" x14ac:dyDescent="0.25">
      <c r="A235" s="16"/>
      <c r="B235" s="14"/>
      <c r="C235" s="7"/>
      <c r="D235" s="8"/>
      <c r="E235" s="9"/>
      <c r="F235" s="10"/>
      <c r="G235" s="11"/>
    </row>
    <row r="236" spans="1:7" s="33" customFormat="1" ht="19.95" customHeight="1" x14ac:dyDescent="0.25">
      <c r="A236" s="17"/>
      <c r="B236" s="38" t="s">
        <v>344</v>
      </c>
      <c r="C236" s="40">
        <f>1*A234</f>
        <v>16</v>
      </c>
      <c r="D236" s="41"/>
      <c r="E236" s="42"/>
      <c r="F236" s="43"/>
      <c r="G236" s="23"/>
    </row>
    <row r="237" spans="1:7" ht="19.95" customHeight="1" x14ac:dyDescent="0.35">
      <c r="C237" s="40"/>
      <c r="D237" s="41"/>
      <c r="E237" s="42"/>
      <c r="F237" s="43"/>
      <c r="G237" s="23"/>
    </row>
    <row r="238" spans="1:7" ht="19.95" customHeight="1" x14ac:dyDescent="0.35">
      <c r="A238" s="13">
        <v>1</v>
      </c>
      <c r="B238" s="14" t="s">
        <v>66</v>
      </c>
      <c r="C238" s="7"/>
      <c r="D238" s="8"/>
      <c r="E238" s="9"/>
      <c r="F238" s="10"/>
      <c r="G238" s="11"/>
    </row>
    <row r="239" spans="1:7" s="24" customFormat="1" ht="19.95" customHeight="1" x14ac:dyDescent="0.25">
      <c r="A239" s="16"/>
      <c r="B239" s="14"/>
      <c r="C239" s="7"/>
      <c r="D239" s="8"/>
      <c r="E239" s="9"/>
      <c r="F239" s="10"/>
      <c r="G239" s="11"/>
    </row>
    <row r="240" spans="1:7" s="24" customFormat="1" ht="19.95" customHeight="1" x14ac:dyDescent="0.25">
      <c r="A240" s="17"/>
      <c r="B240" s="38" t="s">
        <v>53</v>
      </c>
      <c r="C240" s="40">
        <v>1</v>
      </c>
      <c r="D240" s="41"/>
      <c r="E240" s="42"/>
      <c r="F240" s="43"/>
      <c r="G240" s="23"/>
    </row>
    <row r="241" spans="1:7" s="24" customFormat="1" ht="19.95" customHeight="1" x14ac:dyDescent="0.25">
      <c r="A241" s="17"/>
      <c r="B241" s="38" t="s">
        <v>54</v>
      </c>
      <c r="C241" s="40">
        <v>1</v>
      </c>
      <c r="D241" s="41"/>
      <c r="E241" s="42"/>
      <c r="F241" s="43"/>
      <c r="G241" s="23"/>
    </row>
    <row r="242" spans="1:7" s="24" customFormat="1" ht="18" customHeight="1" x14ac:dyDescent="0.25">
      <c r="A242" s="17"/>
      <c r="B242" s="38" t="s">
        <v>55</v>
      </c>
      <c r="C242" s="40">
        <v>1</v>
      </c>
      <c r="D242" s="41"/>
      <c r="E242" s="42"/>
      <c r="F242" s="43"/>
      <c r="G242" s="23"/>
    </row>
    <row r="243" spans="1:7" s="24" customFormat="1" ht="19.95" customHeight="1" x14ac:dyDescent="0.25">
      <c r="A243" s="16"/>
      <c r="B243" s="28"/>
      <c r="C243" s="16"/>
      <c r="D243" s="29"/>
      <c r="E243" s="30"/>
      <c r="F243" s="31"/>
      <c r="G243" s="32"/>
    </row>
    <row r="244" spans="1:7" s="24" customFormat="1" ht="19.95" customHeight="1" x14ac:dyDescent="0.25">
      <c r="A244" s="44"/>
      <c r="B244" s="45" t="s">
        <v>10</v>
      </c>
      <c r="C244" s="46">
        <f>SUM(C222:C243)</f>
        <v>29</v>
      </c>
      <c r="D244" s="46">
        <f>SUM(D222:D243)</f>
        <v>0</v>
      </c>
      <c r="E244" s="46">
        <f>SUM(E222:E243)</f>
        <v>0</v>
      </c>
      <c r="F244" s="46">
        <f>SUM(F222:F243)</f>
        <v>0</v>
      </c>
      <c r="G244" s="46">
        <f>SUM(G222:G243)</f>
        <v>0</v>
      </c>
    </row>
    <row r="245" spans="1:7" s="24" customFormat="1" ht="19.95" customHeight="1" x14ac:dyDescent="0.25">
      <c r="A245" s="47"/>
      <c r="B245" s="48"/>
      <c r="C245" s="40"/>
      <c r="D245" s="40"/>
      <c r="E245" s="40"/>
      <c r="F245" s="40"/>
      <c r="G245" s="40"/>
    </row>
    <row r="246" spans="1:7" s="33" customFormat="1" ht="19.95" customHeight="1" x14ac:dyDescent="0.25">
      <c r="A246" s="75" t="s">
        <v>11</v>
      </c>
      <c r="B246" s="2" t="s">
        <v>1</v>
      </c>
      <c r="C246" s="90" t="s">
        <v>2</v>
      </c>
      <c r="D246" s="90"/>
      <c r="E246" s="90"/>
      <c r="F246" s="90"/>
      <c r="G246" s="90"/>
    </row>
    <row r="247" spans="1:7" s="24" customFormat="1" ht="89.4" x14ac:dyDescent="0.25">
      <c r="A247" s="1"/>
      <c r="B247" s="6" t="s">
        <v>67</v>
      </c>
      <c r="C247" s="7" t="s">
        <v>4</v>
      </c>
      <c r="D247" s="8" t="s">
        <v>5</v>
      </c>
      <c r="E247" s="9" t="s">
        <v>6</v>
      </c>
      <c r="F247" s="10" t="s">
        <v>7</v>
      </c>
      <c r="G247" s="11" t="s">
        <v>8</v>
      </c>
    </row>
    <row r="248" spans="1:7" s="24" customFormat="1" ht="19.95" customHeight="1" x14ac:dyDescent="0.25">
      <c r="A248" s="13">
        <v>3</v>
      </c>
      <c r="B248" s="14" t="s">
        <v>345</v>
      </c>
      <c r="C248" s="7"/>
      <c r="D248" s="8"/>
      <c r="E248" s="9"/>
      <c r="F248" s="10"/>
      <c r="G248" s="11"/>
    </row>
    <row r="249" spans="1:7" s="24" customFormat="1" ht="19.95" customHeight="1" x14ac:dyDescent="0.25">
      <c r="A249" s="16"/>
      <c r="B249" s="14"/>
      <c r="C249" s="7"/>
      <c r="D249" s="8"/>
      <c r="E249" s="9"/>
      <c r="F249" s="10"/>
      <c r="G249" s="11"/>
    </row>
    <row r="250" spans="1:7" s="12" customFormat="1" ht="19.95" customHeight="1" x14ac:dyDescent="0.3">
      <c r="A250" s="17"/>
      <c r="B250" s="38" t="s">
        <v>43</v>
      </c>
      <c r="C250" s="40">
        <f>1*A248</f>
        <v>3</v>
      </c>
      <c r="D250" s="41"/>
      <c r="E250" s="42"/>
      <c r="F250" s="43"/>
      <c r="G250" s="23"/>
    </row>
    <row r="251" spans="1:7" ht="19.95" customHeight="1" x14ac:dyDescent="0.35">
      <c r="A251" s="13">
        <v>2</v>
      </c>
      <c r="B251" s="14" t="s">
        <v>343</v>
      </c>
      <c r="C251" s="7"/>
      <c r="D251" s="8"/>
      <c r="E251" s="9"/>
      <c r="F251" s="10"/>
      <c r="G251" s="11"/>
    </row>
    <row r="252" spans="1:7" ht="19.95" customHeight="1" x14ac:dyDescent="0.35">
      <c r="A252" s="16"/>
      <c r="B252" s="14"/>
      <c r="C252" s="7"/>
      <c r="D252" s="8"/>
      <c r="E252" s="9"/>
      <c r="F252" s="10"/>
      <c r="G252" s="11"/>
    </row>
    <row r="253" spans="1:7" ht="19.95" customHeight="1" x14ac:dyDescent="0.35">
      <c r="B253" s="38" t="s">
        <v>344</v>
      </c>
      <c r="C253" s="40">
        <f>1*A251</f>
        <v>2</v>
      </c>
      <c r="D253" s="41"/>
      <c r="E253" s="42"/>
      <c r="F253" s="43"/>
      <c r="G253" s="23"/>
    </row>
    <row r="254" spans="1:7" ht="19.95" customHeight="1" x14ac:dyDescent="0.35">
      <c r="A254" s="16"/>
      <c r="B254" s="28"/>
      <c r="C254" s="16"/>
      <c r="D254" s="29"/>
      <c r="E254" s="30"/>
      <c r="F254" s="31"/>
      <c r="G254" s="32"/>
    </row>
    <row r="255" spans="1:7" ht="19.95" customHeight="1" x14ac:dyDescent="0.35">
      <c r="A255" s="13">
        <v>10</v>
      </c>
      <c r="B255" s="14" t="s">
        <v>343</v>
      </c>
      <c r="C255" s="7"/>
      <c r="D255" s="8"/>
      <c r="E255" s="9"/>
      <c r="F255" s="10"/>
      <c r="G255" s="11"/>
    </row>
    <row r="256" spans="1:7" s="24" customFormat="1" ht="19.95" customHeight="1" x14ac:dyDescent="0.25">
      <c r="A256" s="16"/>
      <c r="B256" s="14"/>
      <c r="C256" s="7"/>
      <c r="D256" s="8"/>
      <c r="E256" s="9"/>
      <c r="F256" s="10"/>
      <c r="G256" s="11"/>
    </row>
    <row r="257" spans="1:7" s="33" customFormat="1" ht="19.95" customHeight="1" x14ac:dyDescent="0.25">
      <c r="A257" s="17"/>
      <c r="B257" s="38" t="s">
        <v>344</v>
      </c>
      <c r="C257" s="40">
        <f>1*A255</f>
        <v>10</v>
      </c>
      <c r="D257" s="41"/>
      <c r="E257" s="42"/>
      <c r="F257" s="43"/>
      <c r="G257" s="23"/>
    </row>
    <row r="258" spans="1:7" ht="19.95" customHeight="1" x14ac:dyDescent="0.35">
      <c r="A258" s="16"/>
      <c r="B258" s="28"/>
      <c r="C258" s="16"/>
      <c r="D258" s="29"/>
      <c r="E258" s="30"/>
      <c r="F258" s="31"/>
      <c r="G258" s="32"/>
    </row>
    <row r="259" spans="1:7" ht="19.95" customHeight="1" x14ac:dyDescent="0.35">
      <c r="A259" s="13">
        <v>2</v>
      </c>
      <c r="B259" s="14" t="s">
        <v>25</v>
      </c>
      <c r="C259" s="7"/>
      <c r="D259" s="8"/>
      <c r="E259" s="9"/>
      <c r="F259" s="10"/>
      <c r="G259" s="11"/>
    </row>
    <row r="260" spans="1:7" s="24" customFormat="1" ht="19.95" customHeight="1" x14ac:dyDescent="0.25">
      <c r="A260" s="16"/>
      <c r="B260" s="14" t="s">
        <v>348</v>
      </c>
      <c r="C260" s="7"/>
      <c r="D260" s="8"/>
      <c r="E260" s="9"/>
      <c r="F260" s="10"/>
      <c r="G260" s="11"/>
    </row>
    <row r="261" spans="1:7" s="33" customFormat="1" ht="19.95" customHeight="1" x14ac:dyDescent="0.25">
      <c r="A261" s="17"/>
      <c r="B261" s="38" t="s">
        <v>26</v>
      </c>
      <c r="C261" s="40">
        <f>1*A259</f>
        <v>2</v>
      </c>
      <c r="D261" s="41"/>
      <c r="E261" s="42"/>
      <c r="F261" s="43"/>
      <c r="G261" s="23"/>
    </row>
    <row r="262" spans="1:7" ht="19.95" customHeight="1" x14ac:dyDescent="0.35">
      <c r="B262" s="38" t="s">
        <v>27</v>
      </c>
      <c r="C262" s="40">
        <f>1*A259</f>
        <v>2</v>
      </c>
      <c r="D262" s="41"/>
      <c r="E262" s="42"/>
      <c r="F262" s="43"/>
      <c r="G262" s="23"/>
    </row>
    <row r="263" spans="1:7" ht="19.95" customHeight="1" x14ac:dyDescent="0.35">
      <c r="C263" s="40"/>
      <c r="D263" s="41"/>
      <c r="E263" s="42"/>
      <c r="F263" s="43"/>
      <c r="G263" s="23"/>
    </row>
    <row r="264" spans="1:7" s="24" customFormat="1" ht="19.95" customHeight="1" x14ac:dyDescent="0.25">
      <c r="A264" s="13">
        <v>1</v>
      </c>
      <c r="B264" s="14" t="s">
        <v>29</v>
      </c>
      <c r="C264" s="7"/>
      <c r="D264" s="8"/>
      <c r="E264" s="9"/>
      <c r="F264" s="10"/>
      <c r="G264" s="11"/>
    </row>
    <row r="265" spans="1:7" s="24" customFormat="1" ht="19.95" customHeight="1" x14ac:dyDescent="0.25">
      <c r="A265" s="16"/>
      <c r="B265" s="14" t="s">
        <v>68</v>
      </c>
      <c r="C265" s="7"/>
      <c r="D265" s="8"/>
      <c r="E265" s="9"/>
      <c r="F265" s="10"/>
      <c r="G265" s="11"/>
    </row>
    <row r="266" spans="1:7" s="24" customFormat="1" ht="19.95" customHeight="1" x14ac:dyDescent="0.25">
      <c r="A266" s="17"/>
      <c r="B266" s="38" t="s">
        <v>26</v>
      </c>
      <c r="C266" s="40">
        <f>1*A264</f>
        <v>1</v>
      </c>
      <c r="D266" s="41"/>
      <c r="E266" s="42"/>
      <c r="F266" s="43"/>
      <c r="G266" s="23"/>
    </row>
    <row r="267" spans="1:7" s="24" customFormat="1" ht="19.95" customHeight="1" x14ac:dyDescent="0.25">
      <c r="A267" s="17"/>
      <c r="B267" s="38" t="s">
        <v>27</v>
      </c>
      <c r="C267" s="40">
        <f>1*A264</f>
        <v>1</v>
      </c>
      <c r="D267" s="41"/>
      <c r="E267" s="42"/>
      <c r="F267" s="43"/>
      <c r="G267" s="23"/>
    </row>
    <row r="268" spans="1:7" s="24" customFormat="1" ht="19.95" customHeight="1" x14ac:dyDescent="0.25">
      <c r="A268" s="17"/>
      <c r="B268" s="38"/>
      <c r="C268" s="40"/>
      <c r="D268" s="41"/>
      <c r="E268" s="42"/>
      <c r="F268" s="43"/>
      <c r="G268" s="23"/>
    </row>
    <row r="269" spans="1:7" s="24" customFormat="1" ht="19.95" customHeight="1" x14ac:dyDescent="0.25">
      <c r="A269" s="13">
        <v>1</v>
      </c>
      <c r="B269" s="14" t="s">
        <v>69</v>
      </c>
      <c r="C269" s="7"/>
      <c r="D269" s="8"/>
      <c r="E269" s="9"/>
      <c r="F269" s="10"/>
      <c r="G269" s="11"/>
    </row>
    <row r="270" spans="1:7" s="24" customFormat="1" ht="19.95" customHeight="1" x14ac:dyDescent="0.25">
      <c r="A270" s="16"/>
      <c r="B270" s="14"/>
      <c r="C270" s="7"/>
      <c r="D270" s="8"/>
      <c r="E270" s="9"/>
      <c r="F270" s="10"/>
      <c r="G270" s="11"/>
    </row>
    <row r="271" spans="1:7" s="24" customFormat="1" ht="19.95" customHeight="1" x14ac:dyDescent="0.25">
      <c r="A271" s="17"/>
      <c r="B271" s="38" t="s">
        <v>53</v>
      </c>
      <c r="C271" s="40">
        <v>1</v>
      </c>
      <c r="D271" s="41"/>
      <c r="E271" s="42"/>
      <c r="F271" s="43"/>
      <c r="G271" s="23"/>
    </row>
    <row r="272" spans="1:7" s="24" customFormat="1" ht="19.95" customHeight="1" x14ac:dyDescent="0.25">
      <c r="A272" s="17"/>
      <c r="B272" s="38" t="s">
        <v>54</v>
      </c>
      <c r="C272" s="40">
        <v>1</v>
      </c>
      <c r="D272" s="41"/>
      <c r="E272" s="42"/>
      <c r="F272" s="43"/>
      <c r="G272" s="23"/>
    </row>
    <row r="273" spans="1:7" s="24" customFormat="1" ht="19.95" customHeight="1" x14ac:dyDescent="0.25">
      <c r="A273" s="17"/>
      <c r="B273" s="38" t="s">
        <v>55</v>
      </c>
      <c r="C273" s="40">
        <v>1</v>
      </c>
      <c r="D273" s="41"/>
      <c r="E273" s="42"/>
      <c r="F273" s="43"/>
      <c r="G273" s="23"/>
    </row>
    <row r="274" spans="1:7" s="24" customFormat="1" ht="19.95" customHeight="1" x14ac:dyDescent="0.25">
      <c r="A274" s="16"/>
      <c r="B274" s="28"/>
      <c r="C274" s="16"/>
      <c r="D274" s="29"/>
      <c r="E274" s="30"/>
      <c r="F274" s="31"/>
      <c r="G274" s="32"/>
    </row>
    <row r="275" spans="1:7" s="24" customFormat="1" ht="19.95" customHeight="1" x14ac:dyDescent="0.25">
      <c r="A275" s="44"/>
      <c r="B275" s="45" t="s">
        <v>10</v>
      </c>
      <c r="C275" s="46">
        <f>SUM(C248:C273)</f>
        <v>24</v>
      </c>
      <c r="D275" s="46">
        <f>SUM(D248:D267)</f>
        <v>0</v>
      </c>
      <c r="E275" s="46">
        <f>SUM(E248:E267)</f>
        <v>0</v>
      </c>
      <c r="F275" s="46">
        <f>SUM(F248:F267)</f>
        <v>0</v>
      </c>
      <c r="G275" s="46">
        <f>SUM(G248:G267)</f>
        <v>0</v>
      </c>
    </row>
    <row r="276" spans="1:7" s="24" customFormat="1" ht="19.95" customHeight="1" x14ac:dyDescent="0.25">
      <c r="A276" s="47"/>
      <c r="B276" s="48"/>
      <c r="C276" s="40"/>
      <c r="D276" s="40"/>
      <c r="E276" s="40"/>
      <c r="F276" s="40"/>
      <c r="G276" s="40"/>
    </row>
    <row r="277" spans="1:7" s="24" customFormat="1" ht="19.95" customHeight="1" x14ac:dyDescent="0.25">
      <c r="A277" s="75" t="s">
        <v>11</v>
      </c>
      <c r="B277" s="2" t="s">
        <v>1</v>
      </c>
      <c r="C277" s="90" t="s">
        <v>2</v>
      </c>
      <c r="D277" s="90"/>
      <c r="E277" s="90"/>
      <c r="F277" s="90"/>
      <c r="G277" s="90"/>
    </row>
    <row r="278" spans="1:7" s="24" customFormat="1" ht="93.6" customHeight="1" x14ac:dyDescent="0.25">
      <c r="A278" s="1"/>
      <c r="B278" s="6" t="s">
        <v>70</v>
      </c>
      <c r="C278" s="7" t="s">
        <v>4</v>
      </c>
      <c r="D278" s="8" t="s">
        <v>5</v>
      </c>
      <c r="E278" s="9" t="s">
        <v>6</v>
      </c>
      <c r="F278" s="10" t="s">
        <v>7</v>
      </c>
      <c r="G278" s="11" t="s">
        <v>8</v>
      </c>
    </row>
    <row r="279" spans="1:7" s="24" customFormat="1" ht="19.95" customHeight="1" x14ac:dyDescent="0.25">
      <c r="A279" s="13">
        <v>1</v>
      </c>
      <c r="B279" s="14" t="s">
        <v>71</v>
      </c>
      <c r="C279" s="7"/>
      <c r="D279" s="8"/>
      <c r="E279" s="9"/>
      <c r="F279" s="10"/>
      <c r="G279" s="11"/>
    </row>
    <row r="280" spans="1:7" s="24" customFormat="1" ht="19.95" customHeight="1" x14ac:dyDescent="0.25">
      <c r="A280" s="16"/>
      <c r="B280" s="14"/>
      <c r="C280" s="7"/>
      <c r="D280" s="8"/>
      <c r="E280" s="9"/>
      <c r="F280" s="10"/>
      <c r="G280" s="11"/>
    </row>
    <row r="281" spans="1:7" s="12" customFormat="1" ht="19.95" customHeight="1" x14ac:dyDescent="0.3">
      <c r="A281" s="17"/>
      <c r="B281" s="53" t="s">
        <v>15</v>
      </c>
      <c r="C281" s="54"/>
      <c r="D281" s="55"/>
      <c r="E281" s="56">
        <v>2</v>
      </c>
      <c r="F281" s="57"/>
      <c r="G281" s="23"/>
    </row>
    <row r="282" spans="1:7" ht="19.95" customHeight="1" x14ac:dyDescent="0.35">
      <c r="B282" s="53" t="s">
        <v>349</v>
      </c>
      <c r="C282" s="54"/>
      <c r="D282" s="55"/>
      <c r="E282" s="56">
        <v>2</v>
      </c>
      <c r="F282" s="57"/>
      <c r="G282" s="23"/>
    </row>
    <row r="283" spans="1:7" ht="19.95" customHeight="1" x14ac:dyDescent="0.35">
      <c r="B283" s="53" t="s">
        <v>72</v>
      </c>
      <c r="C283" s="54"/>
      <c r="D283" s="55"/>
      <c r="E283" s="56">
        <v>2</v>
      </c>
      <c r="F283" s="57"/>
      <c r="G283" s="23"/>
    </row>
    <row r="284" spans="1:7" s="24" customFormat="1" ht="19.95" customHeight="1" x14ac:dyDescent="0.25">
      <c r="A284" s="17"/>
      <c r="B284" s="53" t="s">
        <v>19</v>
      </c>
      <c r="C284" s="54"/>
      <c r="D284" s="55">
        <v>1</v>
      </c>
      <c r="E284" s="56"/>
      <c r="F284" s="57"/>
      <c r="G284" s="23"/>
    </row>
    <row r="285" spans="1:7" s="24" customFormat="1" ht="19.95" customHeight="1" x14ac:dyDescent="0.25">
      <c r="A285" s="17"/>
      <c r="B285" s="53" t="s">
        <v>20</v>
      </c>
      <c r="C285" s="54">
        <v>1</v>
      </c>
      <c r="D285" s="55"/>
      <c r="E285" s="56"/>
      <c r="F285" s="57"/>
      <c r="G285" s="23"/>
    </row>
    <row r="286" spans="1:7" s="24" customFormat="1" ht="19.95" customHeight="1" x14ac:dyDescent="0.25">
      <c r="A286" s="17"/>
      <c r="B286" s="53" t="s">
        <v>21</v>
      </c>
      <c r="C286" s="54">
        <v>1</v>
      </c>
      <c r="D286" s="55"/>
      <c r="E286" s="56"/>
      <c r="F286" s="57"/>
      <c r="G286" s="23"/>
    </row>
    <row r="287" spans="1:7" s="24" customFormat="1" ht="19.95" customHeight="1" x14ac:dyDescent="0.25">
      <c r="A287" s="17"/>
      <c r="B287" s="53" t="s">
        <v>73</v>
      </c>
      <c r="C287" s="54">
        <v>1</v>
      </c>
      <c r="D287" s="55"/>
      <c r="E287" s="56"/>
      <c r="F287" s="57"/>
      <c r="G287" s="23"/>
    </row>
    <row r="288" spans="1:7" s="24" customFormat="1" ht="19.95" customHeight="1" x14ac:dyDescent="0.25">
      <c r="A288" s="17"/>
      <c r="B288" s="53" t="s">
        <v>22</v>
      </c>
      <c r="C288" s="54">
        <v>1</v>
      </c>
      <c r="D288" s="55"/>
      <c r="E288" s="56"/>
      <c r="F288" s="57"/>
      <c r="G288" s="23"/>
    </row>
    <row r="289" spans="1:7" s="24" customFormat="1" ht="19.95" customHeight="1" x14ac:dyDescent="0.25">
      <c r="A289" s="17"/>
      <c r="B289" s="80" t="s">
        <v>74</v>
      </c>
      <c r="C289" s="54"/>
      <c r="D289" s="55"/>
      <c r="E289" s="56">
        <v>1</v>
      </c>
      <c r="F289" s="57">
        <v>1</v>
      </c>
      <c r="G289" s="23"/>
    </row>
    <row r="290" spans="1:7" s="24" customFormat="1" ht="19.95" customHeight="1" x14ac:dyDescent="0.25">
      <c r="A290" s="17"/>
      <c r="B290" s="80" t="s">
        <v>350</v>
      </c>
      <c r="C290" s="54">
        <v>1</v>
      </c>
      <c r="D290" s="55"/>
      <c r="E290" s="56"/>
      <c r="F290" s="57"/>
      <c r="G290" s="23"/>
    </row>
    <row r="291" spans="1:7" s="24" customFormat="1" ht="19.95" customHeight="1" x14ac:dyDescent="0.25">
      <c r="A291" s="17"/>
      <c r="B291" s="53" t="s">
        <v>351</v>
      </c>
      <c r="C291" s="54">
        <v>1</v>
      </c>
      <c r="D291" s="55"/>
      <c r="E291" s="56"/>
      <c r="F291" s="57"/>
      <c r="G291" s="23"/>
    </row>
    <row r="292" spans="1:7" s="24" customFormat="1" ht="19.95" customHeight="1" x14ac:dyDescent="0.25">
      <c r="A292" s="17"/>
      <c r="B292" s="53" t="s">
        <v>352</v>
      </c>
      <c r="C292" s="54">
        <v>1</v>
      </c>
      <c r="D292" s="55"/>
      <c r="E292" s="56"/>
      <c r="F292" s="57"/>
      <c r="G292" s="23"/>
    </row>
    <row r="293" spans="1:7" s="24" customFormat="1" ht="19.95" customHeight="1" x14ac:dyDescent="0.25">
      <c r="A293" s="17"/>
      <c r="B293" s="53" t="s">
        <v>353</v>
      </c>
      <c r="C293" s="54">
        <v>1</v>
      </c>
      <c r="D293" s="55"/>
      <c r="E293" s="56"/>
      <c r="F293" s="57"/>
      <c r="G293" s="23"/>
    </row>
    <row r="294" spans="1:7" s="24" customFormat="1" ht="19.95" customHeight="1" x14ac:dyDescent="0.25">
      <c r="A294" s="17"/>
      <c r="B294" s="53" t="s">
        <v>354</v>
      </c>
      <c r="C294" s="54">
        <v>1</v>
      </c>
      <c r="D294" s="55"/>
      <c r="E294" s="56"/>
      <c r="F294" s="57"/>
      <c r="G294" s="23"/>
    </row>
    <row r="295" spans="1:7" s="24" customFormat="1" ht="19.95" customHeight="1" x14ac:dyDescent="0.25">
      <c r="A295" s="17"/>
      <c r="B295" s="80" t="s">
        <v>23</v>
      </c>
      <c r="C295" s="54"/>
      <c r="D295" s="55"/>
      <c r="E295" s="56">
        <v>1</v>
      </c>
      <c r="F295" s="57">
        <v>1</v>
      </c>
      <c r="G295" s="23"/>
    </row>
    <row r="296" spans="1:7" s="24" customFormat="1" ht="19.95" customHeight="1" x14ac:dyDescent="0.25">
      <c r="A296" s="17"/>
      <c r="B296" s="80" t="s">
        <v>24</v>
      </c>
      <c r="C296" s="54"/>
      <c r="D296" s="55"/>
      <c r="E296" s="56">
        <v>1</v>
      </c>
      <c r="F296" s="57"/>
      <c r="G296" s="23"/>
    </row>
    <row r="297" spans="1:7" s="24" customFormat="1" ht="19.95" customHeight="1" x14ac:dyDescent="0.25">
      <c r="A297" s="17"/>
      <c r="B297" s="80" t="s">
        <v>75</v>
      </c>
      <c r="C297" s="54"/>
      <c r="D297" s="55"/>
      <c r="F297" s="57"/>
      <c r="G297" s="23">
        <v>1</v>
      </c>
    </row>
    <row r="298" spans="1:7" s="24" customFormat="1" ht="19.95" customHeight="1" x14ac:dyDescent="0.25">
      <c r="A298" s="17"/>
      <c r="B298" s="80" t="s">
        <v>76</v>
      </c>
      <c r="C298" s="54"/>
      <c r="D298" s="55"/>
      <c r="E298" s="56">
        <v>1</v>
      </c>
      <c r="F298" s="57">
        <v>1</v>
      </c>
      <c r="G298" s="23"/>
    </row>
    <row r="299" spans="1:7" s="24" customFormat="1" ht="19.95" customHeight="1" x14ac:dyDescent="0.25">
      <c r="A299" s="17"/>
      <c r="B299" s="53" t="s">
        <v>77</v>
      </c>
      <c r="C299" s="54"/>
      <c r="D299" s="55">
        <v>1</v>
      </c>
      <c r="E299" s="56"/>
      <c r="F299" s="57"/>
      <c r="G299" s="23"/>
    </row>
    <row r="300" spans="1:7" s="24" customFormat="1" ht="19.95" customHeight="1" x14ac:dyDescent="0.25">
      <c r="A300" s="17"/>
      <c r="B300" s="53" t="s">
        <v>78</v>
      </c>
      <c r="C300" s="54">
        <v>1</v>
      </c>
      <c r="D300" s="55"/>
      <c r="E300" s="56"/>
      <c r="F300" s="57"/>
      <c r="G300" s="23"/>
    </row>
    <row r="301" spans="1:7" s="24" customFormat="1" ht="19.95" customHeight="1" x14ac:dyDescent="0.25">
      <c r="A301" s="17"/>
      <c r="B301" s="53" t="s">
        <v>79</v>
      </c>
      <c r="C301" s="54">
        <v>1</v>
      </c>
      <c r="D301" s="55"/>
      <c r="E301" s="56"/>
      <c r="F301" s="57"/>
      <c r="G301" s="23"/>
    </row>
    <row r="302" spans="1:7" s="24" customFormat="1" ht="19.95" customHeight="1" x14ac:dyDescent="0.25">
      <c r="A302" s="17"/>
      <c r="B302" s="53" t="s">
        <v>80</v>
      </c>
      <c r="C302" s="54">
        <v>1</v>
      </c>
      <c r="D302" s="55"/>
      <c r="E302" s="56"/>
      <c r="F302" s="57"/>
      <c r="G302" s="23"/>
    </row>
    <row r="303" spans="1:7" s="24" customFormat="1" ht="19.95" customHeight="1" x14ac:dyDescent="0.25">
      <c r="A303" s="17"/>
      <c r="B303" s="53" t="s">
        <v>81</v>
      </c>
      <c r="C303" s="54">
        <v>1</v>
      </c>
      <c r="D303" s="55"/>
      <c r="E303" s="56"/>
      <c r="F303" s="57"/>
      <c r="G303" s="23"/>
    </row>
    <row r="304" spans="1:7" s="24" customFormat="1" ht="19.95" customHeight="1" x14ac:dyDescent="0.25">
      <c r="A304" s="17"/>
      <c r="B304" s="53" t="s">
        <v>82</v>
      </c>
      <c r="C304" s="54"/>
      <c r="D304" s="55"/>
      <c r="E304" s="56">
        <v>2</v>
      </c>
      <c r="F304" s="57"/>
      <c r="G304" s="23"/>
    </row>
    <row r="305" spans="1:7" s="24" customFormat="1" ht="19.95" customHeight="1" x14ac:dyDescent="0.25">
      <c r="A305" s="17"/>
      <c r="B305" s="80" t="s">
        <v>83</v>
      </c>
      <c r="C305" s="54"/>
      <c r="D305" s="55">
        <v>1</v>
      </c>
      <c r="E305" s="56"/>
      <c r="F305" s="57"/>
      <c r="G305" s="23"/>
    </row>
    <row r="306" spans="1:7" s="24" customFormat="1" ht="19.95" customHeight="1" x14ac:dyDescent="0.25">
      <c r="A306" s="17"/>
      <c r="B306" s="80" t="s">
        <v>84</v>
      </c>
      <c r="C306" s="54">
        <v>1</v>
      </c>
      <c r="D306" s="55"/>
      <c r="E306" s="56"/>
      <c r="F306" s="57"/>
      <c r="G306" s="23"/>
    </row>
    <row r="307" spans="1:7" s="24" customFormat="1" ht="19.95" customHeight="1" x14ac:dyDescent="0.25">
      <c r="A307" s="17"/>
      <c r="B307" s="80" t="s">
        <v>85</v>
      </c>
      <c r="C307" s="54">
        <v>1</v>
      </c>
      <c r="D307" s="55"/>
      <c r="E307" s="56"/>
      <c r="F307" s="57"/>
      <c r="G307" s="23"/>
    </row>
    <row r="308" spans="1:7" s="24" customFormat="1" ht="19.95" customHeight="1" x14ac:dyDescent="0.25">
      <c r="A308" s="17"/>
      <c r="B308" s="80" t="s">
        <v>86</v>
      </c>
      <c r="C308" s="54"/>
      <c r="D308" s="55"/>
      <c r="E308" s="56">
        <v>2</v>
      </c>
      <c r="F308" s="57"/>
      <c r="G308" s="23"/>
    </row>
    <row r="309" spans="1:7" s="24" customFormat="1" ht="19.95" customHeight="1" x14ac:dyDescent="0.25">
      <c r="A309" s="59"/>
      <c r="B309" s="60" t="s">
        <v>355</v>
      </c>
      <c r="C309" s="54"/>
      <c r="D309" s="55"/>
      <c r="E309" s="56">
        <v>3</v>
      </c>
      <c r="F309" s="57"/>
      <c r="G309" s="23"/>
    </row>
    <row r="310" spans="1:7" s="24" customFormat="1" ht="19.95" customHeight="1" x14ac:dyDescent="0.25">
      <c r="A310" s="59"/>
      <c r="B310" s="60" t="s">
        <v>356</v>
      </c>
      <c r="C310" s="54"/>
      <c r="D310" s="55"/>
      <c r="E310" s="56">
        <v>2</v>
      </c>
      <c r="F310" s="57"/>
      <c r="G310" s="23"/>
    </row>
    <row r="311" spans="1:7" s="24" customFormat="1" ht="19.95" customHeight="1" x14ac:dyDescent="0.25">
      <c r="A311" s="59"/>
      <c r="B311" s="60" t="s">
        <v>357</v>
      </c>
      <c r="C311" s="54"/>
      <c r="D311" s="55"/>
      <c r="E311" s="56">
        <v>8</v>
      </c>
      <c r="F311" s="57"/>
      <c r="G311" s="23"/>
    </row>
    <row r="312" spans="1:7" s="24" customFormat="1" ht="19.95" customHeight="1" x14ac:dyDescent="0.25">
      <c r="A312" s="59"/>
      <c r="B312" s="60" t="s">
        <v>358</v>
      </c>
      <c r="C312" s="54"/>
      <c r="D312" s="55"/>
      <c r="E312" s="56">
        <v>2</v>
      </c>
      <c r="F312" s="57"/>
      <c r="G312" s="23"/>
    </row>
    <row r="313" spans="1:7" s="24" customFormat="1" ht="19.95" customHeight="1" x14ac:dyDescent="0.25">
      <c r="A313" s="59"/>
      <c r="B313" s="60" t="s">
        <v>87</v>
      </c>
      <c r="C313" s="54"/>
      <c r="D313" s="55"/>
      <c r="E313" s="56">
        <v>1</v>
      </c>
      <c r="F313" s="57">
        <v>1</v>
      </c>
      <c r="G313" s="23"/>
    </row>
    <row r="314" spans="1:7" s="24" customFormat="1" ht="19.95" customHeight="1" x14ac:dyDescent="0.25">
      <c r="A314" s="59"/>
      <c r="B314" s="60" t="s">
        <v>359</v>
      </c>
      <c r="C314" s="54"/>
      <c r="D314" s="55"/>
      <c r="E314" s="56">
        <v>1</v>
      </c>
      <c r="F314" s="57">
        <v>1</v>
      </c>
      <c r="G314" s="23"/>
    </row>
    <row r="315" spans="1:7" s="24" customFormat="1" ht="19.95" customHeight="1" x14ac:dyDescent="0.25">
      <c r="A315" s="17"/>
      <c r="B315" s="80"/>
      <c r="C315" s="54"/>
      <c r="D315" s="55"/>
      <c r="E315" s="56"/>
      <c r="F315" s="57"/>
      <c r="G315" s="57"/>
    </row>
    <row r="316" spans="1:7" s="12" customFormat="1" ht="19.95" customHeight="1" x14ac:dyDescent="0.3">
      <c r="A316" s="13">
        <v>1</v>
      </c>
      <c r="B316" s="14" t="s">
        <v>25</v>
      </c>
      <c r="C316" s="7"/>
      <c r="D316" s="8"/>
      <c r="E316" s="9"/>
      <c r="F316" s="10"/>
      <c r="G316" s="11"/>
    </row>
    <row r="317" spans="1:7" ht="19.95" customHeight="1" x14ac:dyDescent="0.35">
      <c r="A317" s="16"/>
      <c r="B317" s="14" t="s">
        <v>89</v>
      </c>
      <c r="C317" s="7"/>
      <c r="D317" s="8"/>
      <c r="E317" s="9"/>
      <c r="F317" s="10"/>
      <c r="G317" s="11"/>
    </row>
    <row r="318" spans="1:7" s="24" customFormat="1" ht="19.95" customHeight="1" x14ac:dyDescent="0.25">
      <c r="A318" s="17"/>
      <c r="B318" s="38" t="s">
        <v>26</v>
      </c>
      <c r="C318" s="40">
        <v>1</v>
      </c>
      <c r="D318" s="41"/>
      <c r="E318" s="42"/>
      <c r="F318" s="43"/>
      <c r="G318" s="23"/>
    </row>
    <row r="319" spans="1:7" ht="19.95" customHeight="1" x14ac:dyDescent="0.35">
      <c r="B319" s="38" t="s">
        <v>27</v>
      </c>
      <c r="C319" s="40">
        <v>1</v>
      </c>
      <c r="D319" s="41"/>
      <c r="E319" s="42"/>
      <c r="F319" s="43"/>
      <c r="G319" s="23"/>
    </row>
    <row r="320" spans="1:7" ht="19.95" customHeight="1" x14ac:dyDescent="0.35">
      <c r="A320" s="16"/>
      <c r="B320" s="28"/>
      <c r="C320" s="16"/>
      <c r="D320" s="29"/>
      <c r="E320" s="30"/>
      <c r="F320" s="31"/>
      <c r="G320" s="32"/>
    </row>
    <row r="321" spans="1:7" s="24" customFormat="1" ht="19.95" customHeight="1" x14ac:dyDescent="0.25">
      <c r="A321" s="13">
        <v>1</v>
      </c>
      <c r="B321" s="14" t="s">
        <v>90</v>
      </c>
      <c r="C321" s="7"/>
      <c r="D321" s="8"/>
      <c r="E321" s="9"/>
      <c r="F321" s="10"/>
      <c r="G321" s="11"/>
    </row>
    <row r="322" spans="1:7" s="24" customFormat="1" ht="19.95" customHeight="1" x14ac:dyDescent="0.25">
      <c r="A322" s="16"/>
      <c r="B322" s="14"/>
      <c r="C322" s="7"/>
      <c r="D322" s="8"/>
      <c r="E322" s="9"/>
      <c r="F322" s="10"/>
      <c r="G322" s="11"/>
    </row>
    <row r="323" spans="1:7" s="33" customFormat="1" ht="19.95" customHeight="1" x14ac:dyDescent="0.25">
      <c r="A323" s="17"/>
      <c r="B323" s="53" t="s">
        <v>15</v>
      </c>
      <c r="C323" s="54"/>
      <c r="D323" s="55"/>
      <c r="E323" s="56">
        <v>2</v>
      </c>
      <c r="F323" s="57"/>
      <c r="G323" s="23"/>
    </row>
    <row r="324" spans="1:7" ht="19.95" customHeight="1" x14ac:dyDescent="0.35">
      <c r="B324" s="53" t="s">
        <v>349</v>
      </c>
      <c r="C324" s="54"/>
      <c r="D324" s="55"/>
      <c r="E324" s="56">
        <v>2</v>
      </c>
      <c r="F324" s="57"/>
      <c r="G324" s="23"/>
    </row>
    <row r="325" spans="1:7" ht="19.95" customHeight="1" x14ac:dyDescent="0.35">
      <c r="B325" s="53" t="s">
        <v>72</v>
      </c>
      <c r="C325" s="54"/>
      <c r="D325" s="55"/>
      <c r="E325" s="56">
        <v>2</v>
      </c>
      <c r="F325" s="57"/>
      <c r="G325" s="23"/>
    </row>
    <row r="326" spans="1:7" s="24" customFormat="1" ht="19.95" customHeight="1" x14ac:dyDescent="0.25">
      <c r="A326" s="17"/>
      <c r="B326" s="53" t="s">
        <v>19</v>
      </c>
      <c r="C326" s="54"/>
      <c r="D326" s="55">
        <v>1</v>
      </c>
      <c r="E326" s="56"/>
      <c r="F326" s="57"/>
      <c r="G326" s="23"/>
    </row>
    <row r="327" spans="1:7" s="24" customFormat="1" ht="19.95" customHeight="1" x14ac:dyDescent="0.25">
      <c r="A327" s="17"/>
      <c r="B327" s="53" t="s">
        <v>20</v>
      </c>
      <c r="C327" s="54">
        <v>1</v>
      </c>
      <c r="D327" s="55"/>
      <c r="E327" s="56"/>
      <c r="F327" s="57"/>
      <c r="G327" s="23"/>
    </row>
    <row r="328" spans="1:7" s="24" customFormat="1" ht="19.95" customHeight="1" x14ac:dyDescent="0.25">
      <c r="A328" s="17"/>
      <c r="B328" s="53" t="s">
        <v>21</v>
      </c>
      <c r="C328" s="54">
        <v>1</v>
      </c>
      <c r="D328" s="55"/>
      <c r="E328" s="56"/>
      <c r="F328" s="57"/>
      <c r="G328" s="23"/>
    </row>
    <row r="329" spans="1:7" s="24" customFormat="1" ht="19.95" customHeight="1" x14ac:dyDescent="0.25">
      <c r="A329" s="17"/>
      <c r="B329" s="53" t="s">
        <v>73</v>
      </c>
      <c r="C329" s="54">
        <v>1</v>
      </c>
      <c r="D329" s="55"/>
      <c r="E329" s="56"/>
      <c r="F329" s="57"/>
      <c r="G329" s="23"/>
    </row>
    <row r="330" spans="1:7" s="24" customFormat="1" ht="19.95" customHeight="1" x14ac:dyDescent="0.25">
      <c r="A330" s="17"/>
      <c r="B330" s="53" t="s">
        <v>22</v>
      </c>
      <c r="C330" s="54">
        <v>1</v>
      </c>
      <c r="D330" s="55"/>
      <c r="E330" s="56"/>
      <c r="F330" s="57"/>
      <c r="G330" s="23"/>
    </row>
    <row r="331" spans="1:7" s="24" customFormat="1" ht="19.95" customHeight="1" x14ac:dyDescent="0.25">
      <c r="A331" s="17"/>
      <c r="B331" s="80" t="s">
        <v>74</v>
      </c>
      <c r="C331" s="54"/>
      <c r="D331" s="55"/>
      <c r="E331" s="56">
        <v>1</v>
      </c>
      <c r="F331" s="57">
        <v>1</v>
      </c>
      <c r="G331" s="23"/>
    </row>
    <row r="332" spans="1:7" s="24" customFormat="1" ht="19.95" customHeight="1" x14ac:dyDescent="0.25">
      <c r="A332" s="17"/>
      <c r="B332" s="80" t="s">
        <v>350</v>
      </c>
      <c r="C332" s="54">
        <v>1</v>
      </c>
      <c r="D332" s="55"/>
      <c r="E332" s="56"/>
      <c r="F332" s="57"/>
      <c r="G332" s="23"/>
    </row>
    <row r="333" spans="1:7" s="24" customFormat="1" ht="19.95" customHeight="1" x14ac:dyDescent="0.25">
      <c r="A333" s="17"/>
      <c r="B333" s="53" t="s">
        <v>351</v>
      </c>
      <c r="C333" s="54">
        <v>1</v>
      </c>
      <c r="D333" s="55"/>
      <c r="E333" s="56"/>
      <c r="F333" s="57"/>
      <c r="G333" s="23"/>
    </row>
    <row r="334" spans="1:7" s="24" customFormat="1" ht="19.95" customHeight="1" x14ac:dyDescent="0.25">
      <c r="A334" s="17"/>
      <c r="B334" s="53" t="s">
        <v>352</v>
      </c>
      <c r="C334" s="54">
        <v>1</v>
      </c>
      <c r="D334" s="55"/>
      <c r="E334" s="56"/>
      <c r="F334" s="57"/>
      <c r="G334" s="23"/>
    </row>
    <row r="335" spans="1:7" s="24" customFormat="1" ht="19.95" customHeight="1" x14ac:dyDescent="0.25">
      <c r="A335" s="17"/>
      <c r="B335" s="53" t="s">
        <v>353</v>
      </c>
      <c r="C335" s="54">
        <v>1</v>
      </c>
      <c r="D335" s="55"/>
      <c r="E335" s="56"/>
      <c r="F335" s="57"/>
      <c r="G335" s="23"/>
    </row>
    <row r="336" spans="1:7" s="24" customFormat="1" ht="19.95" customHeight="1" x14ac:dyDescent="0.25">
      <c r="A336" s="17"/>
      <c r="B336" s="53" t="s">
        <v>354</v>
      </c>
      <c r="C336" s="54">
        <v>1</v>
      </c>
      <c r="D336" s="55"/>
      <c r="E336" s="56"/>
      <c r="F336" s="57"/>
      <c r="G336" s="23"/>
    </row>
    <row r="337" spans="1:7" s="24" customFormat="1" ht="19.95" customHeight="1" x14ac:dyDescent="0.25">
      <c r="A337" s="17"/>
      <c r="B337" s="80" t="s">
        <v>23</v>
      </c>
      <c r="C337" s="54"/>
      <c r="D337" s="55"/>
      <c r="E337" s="56">
        <v>1</v>
      </c>
      <c r="F337" s="57">
        <v>1</v>
      </c>
      <c r="G337" s="23"/>
    </row>
    <row r="338" spans="1:7" s="24" customFormat="1" ht="19.95" customHeight="1" x14ac:dyDescent="0.25">
      <c r="A338" s="17"/>
      <c r="B338" s="80" t="s">
        <v>24</v>
      </c>
      <c r="C338" s="54"/>
      <c r="D338" s="55"/>
      <c r="E338" s="56">
        <v>1</v>
      </c>
      <c r="F338" s="57"/>
      <c r="G338" s="23"/>
    </row>
    <row r="339" spans="1:7" s="24" customFormat="1" ht="19.95" customHeight="1" x14ac:dyDescent="0.25">
      <c r="A339" s="17"/>
      <c r="B339" s="80" t="s">
        <v>75</v>
      </c>
      <c r="C339" s="54"/>
      <c r="D339" s="55"/>
      <c r="F339" s="57"/>
      <c r="G339" s="23">
        <v>1</v>
      </c>
    </row>
    <row r="340" spans="1:7" s="24" customFormat="1" ht="19.95" customHeight="1" x14ac:dyDescent="0.25">
      <c r="A340" s="17"/>
      <c r="B340" s="80" t="s">
        <v>76</v>
      </c>
      <c r="C340" s="54"/>
      <c r="D340" s="55"/>
      <c r="E340" s="56">
        <v>1</v>
      </c>
      <c r="F340" s="57">
        <v>1</v>
      </c>
      <c r="G340" s="23"/>
    </row>
    <row r="341" spans="1:7" s="24" customFormat="1" ht="19.95" customHeight="1" x14ac:dyDescent="0.25">
      <c r="A341" s="17"/>
      <c r="B341" s="53" t="s">
        <v>77</v>
      </c>
      <c r="C341" s="54"/>
      <c r="D341" s="55">
        <v>1</v>
      </c>
      <c r="E341" s="56"/>
      <c r="F341" s="57"/>
      <c r="G341" s="23"/>
    </row>
    <row r="342" spans="1:7" s="24" customFormat="1" ht="19.95" customHeight="1" x14ac:dyDescent="0.25">
      <c r="A342" s="17"/>
      <c r="B342" s="53" t="s">
        <v>78</v>
      </c>
      <c r="C342" s="54">
        <v>1</v>
      </c>
      <c r="D342" s="55"/>
      <c r="E342" s="56"/>
      <c r="F342" s="57"/>
      <c r="G342" s="23"/>
    </row>
    <row r="343" spans="1:7" s="24" customFormat="1" ht="19.95" customHeight="1" x14ac:dyDescent="0.25">
      <c r="A343" s="17"/>
      <c r="B343" s="53" t="s">
        <v>79</v>
      </c>
      <c r="C343" s="54">
        <v>1</v>
      </c>
      <c r="D343" s="55"/>
      <c r="E343" s="56"/>
      <c r="F343" s="57"/>
      <c r="G343" s="23"/>
    </row>
    <row r="344" spans="1:7" s="24" customFormat="1" ht="19.95" customHeight="1" x14ac:dyDescent="0.25">
      <c r="A344" s="17"/>
      <c r="B344" s="53" t="s">
        <v>80</v>
      </c>
      <c r="C344" s="54">
        <v>1</v>
      </c>
      <c r="D344" s="55"/>
      <c r="E344" s="56"/>
      <c r="F344" s="57"/>
      <c r="G344" s="23"/>
    </row>
    <row r="345" spans="1:7" s="24" customFormat="1" ht="19.95" customHeight="1" x14ac:dyDescent="0.25">
      <c r="A345" s="17"/>
      <c r="B345" s="53" t="s">
        <v>81</v>
      </c>
      <c r="C345" s="54">
        <v>1</v>
      </c>
      <c r="D345" s="55"/>
      <c r="E345" s="56"/>
      <c r="F345" s="57"/>
      <c r="G345" s="23"/>
    </row>
    <row r="346" spans="1:7" s="24" customFormat="1" ht="19.95" customHeight="1" x14ac:dyDescent="0.25">
      <c r="A346" s="17"/>
      <c r="B346" s="53" t="s">
        <v>82</v>
      </c>
      <c r="C346" s="54"/>
      <c r="D346" s="55"/>
      <c r="E346" s="56">
        <v>2</v>
      </c>
      <c r="F346" s="57"/>
      <c r="G346" s="23"/>
    </row>
    <row r="347" spans="1:7" s="24" customFormat="1" ht="19.95" customHeight="1" x14ac:dyDescent="0.25">
      <c r="A347" s="17"/>
      <c r="B347" s="80" t="s">
        <v>83</v>
      </c>
      <c r="C347" s="54"/>
      <c r="D347" s="55">
        <v>1</v>
      </c>
      <c r="E347" s="56"/>
      <c r="F347" s="57"/>
      <c r="G347" s="23"/>
    </row>
    <row r="348" spans="1:7" s="24" customFormat="1" ht="19.95" customHeight="1" x14ac:dyDescent="0.25">
      <c r="A348" s="17"/>
      <c r="B348" s="80" t="s">
        <v>84</v>
      </c>
      <c r="C348" s="54">
        <v>1</v>
      </c>
      <c r="D348" s="55"/>
      <c r="E348" s="56"/>
      <c r="F348" s="57"/>
      <c r="G348" s="23"/>
    </row>
    <row r="349" spans="1:7" s="24" customFormat="1" ht="19.95" customHeight="1" x14ac:dyDescent="0.25">
      <c r="A349" s="17"/>
      <c r="B349" s="80" t="s">
        <v>85</v>
      </c>
      <c r="C349" s="54">
        <v>1</v>
      </c>
      <c r="D349" s="55"/>
      <c r="E349" s="56"/>
      <c r="F349" s="57"/>
      <c r="G349" s="23"/>
    </row>
    <row r="350" spans="1:7" s="24" customFormat="1" ht="19.95" customHeight="1" x14ac:dyDescent="0.25">
      <c r="A350" s="17"/>
      <c r="B350" s="80" t="s">
        <v>86</v>
      </c>
      <c r="C350" s="54"/>
      <c r="D350" s="55"/>
      <c r="E350" s="56">
        <v>2</v>
      </c>
      <c r="F350" s="57"/>
      <c r="G350" s="23"/>
    </row>
    <row r="351" spans="1:7" s="24" customFormat="1" ht="19.95" customHeight="1" x14ac:dyDescent="0.25">
      <c r="A351" s="59"/>
      <c r="B351" s="60" t="s">
        <v>355</v>
      </c>
      <c r="C351" s="54"/>
      <c r="D351" s="55"/>
      <c r="E351" s="56">
        <v>3</v>
      </c>
      <c r="F351" s="57"/>
      <c r="G351" s="23"/>
    </row>
    <row r="352" spans="1:7" s="24" customFormat="1" ht="19.95" customHeight="1" x14ac:dyDescent="0.25">
      <c r="A352" s="59"/>
      <c r="B352" s="60" t="s">
        <v>356</v>
      </c>
      <c r="C352" s="54"/>
      <c r="D352" s="55"/>
      <c r="E352" s="56">
        <v>2</v>
      </c>
      <c r="F352" s="57"/>
      <c r="G352" s="23"/>
    </row>
    <row r="353" spans="1:7" s="24" customFormat="1" ht="19.95" customHeight="1" x14ac:dyDescent="0.25">
      <c r="A353" s="59"/>
      <c r="B353" s="60" t="s">
        <v>357</v>
      </c>
      <c r="C353" s="54"/>
      <c r="D353" s="55"/>
      <c r="E353" s="56">
        <v>8</v>
      </c>
      <c r="F353" s="57"/>
      <c r="G353" s="23"/>
    </row>
    <row r="354" spans="1:7" s="24" customFormat="1" ht="19.95" customHeight="1" x14ac:dyDescent="0.25">
      <c r="A354" s="59"/>
      <c r="B354" s="60" t="s">
        <v>358</v>
      </c>
      <c r="C354" s="54"/>
      <c r="D354" s="55"/>
      <c r="E354" s="56">
        <v>2</v>
      </c>
      <c r="F354" s="57"/>
      <c r="G354" s="23"/>
    </row>
    <row r="355" spans="1:7" s="24" customFormat="1" ht="19.95" customHeight="1" x14ac:dyDescent="0.25">
      <c r="A355" s="59"/>
      <c r="B355" s="60" t="s">
        <v>87</v>
      </c>
      <c r="C355" s="54"/>
      <c r="D355" s="55"/>
      <c r="E355" s="56">
        <v>1</v>
      </c>
      <c r="F355" s="57">
        <v>1</v>
      </c>
      <c r="G355" s="23"/>
    </row>
    <row r="356" spans="1:7" s="24" customFormat="1" ht="19.95" customHeight="1" x14ac:dyDescent="0.25">
      <c r="A356" s="59"/>
      <c r="B356" s="60" t="s">
        <v>359</v>
      </c>
      <c r="C356" s="54"/>
      <c r="D356" s="55"/>
      <c r="E356" s="56">
        <v>1</v>
      </c>
      <c r="F356" s="57">
        <v>1</v>
      </c>
      <c r="G356" s="23"/>
    </row>
    <row r="357" spans="1:7" s="24" customFormat="1" ht="19.95" customHeight="1" x14ac:dyDescent="0.25">
      <c r="A357" s="17"/>
      <c r="B357" s="80"/>
      <c r="C357" s="54"/>
      <c r="D357" s="55"/>
      <c r="E357" s="56"/>
      <c r="F357" s="57"/>
      <c r="G357" s="57"/>
    </row>
    <row r="358" spans="1:7" s="24" customFormat="1" ht="19.95" customHeight="1" x14ac:dyDescent="0.25">
      <c r="A358" s="13">
        <v>2</v>
      </c>
      <c r="B358" s="14" t="s">
        <v>91</v>
      </c>
      <c r="C358" s="7"/>
      <c r="D358" s="8"/>
      <c r="E358" s="9"/>
      <c r="F358" s="10"/>
      <c r="G358" s="11"/>
    </row>
    <row r="359" spans="1:7" s="24" customFormat="1" ht="19.95" customHeight="1" x14ac:dyDescent="0.25">
      <c r="A359" s="16"/>
      <c r="B359" s="14" t="s">
        <v>92</v>
      </c>
      <c r="C359" s="7"/>
      <c r="D359" s="8"/>
      <c r="E359" s="9"/>
      <c r="F359" s="10"/>
      <c r="G359" s="11"/>
    </row>
    <row r="360" spans="1:7" s="24" customFormat="1" ht="19.95" customHeight="1" x14ac:dyDescent="0.25">
      <c r="A360" s="17"/>
      <c r="B360" s="38" t="s">
        <v>360</v>
      </c>
      <c r="C360" s="40">
        <f>1*A358</f>
        <v>2</v>
      </c>
      <c r="D360" s="41"/>
      <c r="E360" s="42"/>
      <c r="F360" s="43"/>
      <c r="G360" s="23"/>
    </row>
    <row r="361" spans="1:7" ht="19.95" customHeight="1" x14ac:dyDescent="0.35">
      <c r="B361" s="38" t="s">
        <v>93</v>
      </c>
      <c r="C361" s="40">
        <f>C360</f>
        <v>2</v>
      </c>
      <c r="D361" s="41"/>
      <c r="E361" s="42"/>
      <c r="F361" s="43"/>
      <c r="G361" s="23"/>
    </row>
    <row r="362" spans="1:7" ht="19.95" customHeight="1" x14ac:dyDescent="0.35">
      <c r="B362" s="38" t="s">
        <v>361</v>
      </c>
      <c r="C362" s="40">
        <f>C360</f>
        <v>2</v>
      </c>
      <c r="D362" s="41"/>
      <c r="E362" s="42"/>
      <c r="F362" s="43"/>
      <c r="G362" s="23"/>
    </row>
    <row r="363" spans="1:7" s="24" customFormat="1" ht="19.95" customHeight="1" x14ac:dyDescent="0.25">
      <c r="A363" s="17"/>
      <c r="B363" s="38" t="s">
        <v>94</v>
      </c>
      <c r="C363" s="40"/>
      <c r="D363" s="41"/>
      <c r="E363" s="42"/>
      <c r="F363" s="43"/>
      <c r="G363" s="23">
        <f>C362</f>
        <v>2</v>
      </c>
    </row>
    <row r="364" spans="1:7" s="24" customFormat="1" ht="19.95" customHeight="1" x14ac:dyDescent="0.25">
      <c r="A364" s="17"/>
      <c r="B364" s="38" t="s">
        <v>95</v>
      </c>
      <c r="C364" s="40"/>
      <c r="D364" s="41"/>
      <c r="E364" s="42"/>
      <c r="F364" s="43"/>
      <c r="G364" s="23">
        <f>C362</f>
        <v>2</v>
      </c>
    </row>
    <row r="365" spans="1:7" s="24" customFormat="1" ht="19.95" customHeight="1" x14ac:dyDescent="0.25">
      <c r="A365" s="17"/>
      <c r="B365" s="38" t="s">
        <v>96</v>
      </c>
      <c r="C365" s="40">
        <f>C360</f>
        <v>2</v>
      </c>
      <c r="D365" s="41"/>
      <c r="E365" s="42"/>
      <c r="F365" s="43"/>
      <c r="G365" s="23"/>
    </row>
    <row r="366" spans="1:7" s="24" customFormat="1" ht="19.95" customHeight="1" x14ac:dyDescent="0.25">
      <c r="A366" s="16"/>
      <c r="B366" s="28"/>
      <c r="C366" s="16"/>
      <c r="D366" s="29"/>
      <c r="E366" s="30"/>
      <c r="F366" s="31"/>
      <c r="G366" s="32"/>
    </row>
    <row r="367" spans="1:7" s="24" customFormat="1" ht="19.95" customHeight="1" x14ac:dyDescent="0.25">
      <c r="A367" s="13">
        <v>1</v>
      </c>
      <c r="B367" s="14" t="s">
        <v>97</v>
      </c>
      <c r="C367" s="7"/>
      <c r="D367" s="8"/>
      <c r="E367" s="9"/>
      <c r="F367" s="10"/>
      <c r="G367" s="11"/>
    </row>
    <row r="368" spans="1:7" s="24" customFormat="1" ht="19.95" customHeight="1" x14ac:dyDescent="0.25">
      <c r="A368" s="16"/>
      <c r="B368" s="14" t="s">
        <v>98</v>
      </c>
      <c r="C368" s="7"/>
      <c r="D368" s="8"/>
      <c r="E368" s="9"/>
      <c r="F368" s="10"/>
      <c r="G368" s="11"/>
    </row>
    <row r="369" spans="1:7" s="33" customFormat="1" ht="19.95" customHeight="1" x14ac:dyDescent="0.25">
      <c r="A369" s="17"/>
      <c r="B369" s="38" t="s">
        <v>94</v>
      </c>
      <c r="C369" s="40"/>
      <c r="D369" s="41"/>
      <c r="E369" s="9"/>
      <c r="F369" s="43"/>
      <c r="G369" s="23">
        <v>1</v>
      </c>
    </row>
    <row r="370" spans="1:7" ht="19.95" customHeight="1" x14ac:dyDescent="0.35">
      <c r="B370" s="38" t="s">
        <v>99</v>
      </c>
      <c r="C370" s="40"/>
      <c r="D370" s="41"/>
      <c r="E370" s="9"/>
      <c r="F370" s="43"/>
      <c r="G370" s="23">
        <v>1</v>
      </c>
    </row>
    <row r="371" spans="1:7" ht="19.95" customHeight="1" x14ac:dyDescent="0.35">
      <c r="B371" s="38" t="s">
        <v>100</v>
      </c>
      <c r="C371" s="40">
        <v>1</v>
      </c>
      <c r="D371" s="41"/>
      <c r="E371" s="9"/>
      <c r="F371" s="43"/>
      <c r="G371" s="23"/>
    </row>
    <row r="372" spans="1:7" s="24" customFormat="1" ht="19.95" customHeight="1" x14ac:dyDescent="0.25">
      <c r="A372" s="17"/>
      <c r="B372" s="38" t="s">
        <v>93</v>
      </c>
      <c r="C372" s="40">
        <v>1</v>
      </c>
      <c r="D372" s="41"/>
      <c r="E372" s="42"/>
      <c r="F372" s="43"/>
      <c r="G372" s="23"/>
    </row>
    <row r="373" spans="1:7" s="24" customFormat="1" ht="19.95" customHeight="1" x14ac:dyDescent="0.25">
      <c r="A373" s="17"/>
      <c r="B373" s="38" t="s">
        <v>101</v>
      </c>
      <c r="C373" s="40">
        <v>1</v>
      </c>
      <c r="D373" s="41"/>
      <c r="E373" s="42"/>
      <c r="F373" s="43"/>
      <c r="G373" s="23"/>
    </row>
    <row r="374" spans="1:7" s="24" customFormat="1" ht="19.95" customHeight="1" x14ac:dyDescent="0.25">
      <c r="A374" s="16"/>
      <c r="B374" s="28"/>
      <c r="C374" s="16"/>
      <c r="D374" s="29"/>
      <c r="E374" s="30"/>
      <c r="F374" s="31"/>
      <c r="G374" s="32"/>
    </row>
    <row r="375" spans="1:7" s="24" customFormat="1" ht="21.6" customHeight="1" x14ac:dyDescent="0.25">
      <c r="A375" s="44"/>
      <c r="B375" s="45" t="s">
        <v>10</v>
      </c>
      <c r="C375" s="46">
        <f>SUM(C281:C373)</f>
        <v>43</v>
      </c>
      <c r="D375" s="46">
        <f>SUM(D281:D373)</f>
        <v>6</v>
      </c>
      <c r="E375" s="46">
        <f>SUM(E281:E373)</f>
        <v>62</v>
      </c>
      <c r="F375" s="46">
        <f>SUM(F281:F373)</f>
        <v>10</v>
      </c>
      <c r="G375" s="46">
        <f>SUM(G281:G373)</f>
        <v>8</v>
      </c>
    </row>
    <row r="376" spans="1:7" s="24" customFormat="1" ht="19.95" customHeight="1" x14ac:dyDescent="0.25">
      <c r="A376" s="16"/>
      <c r="B376" s="28"/>
      <c r="C376" s="49"/>
      <c r="D376" s="49"/>
      <c r="E376" s="50"/>
      <c r="F376" s="49"/>
      <c r="G376" s="49"/>
    </row>
    <row r="377" spans="1:7" s="33" customFormat="1" ht="33.6" customHeight="1" x14ac:dyDescent="0.25">
      <c r="A377" s="75" t="s">
        <v>11</v>
      </c>
      <c r="B377" s="2" t="s">
        <v>1</v>
      </c>
      <c r="C377" s="90" t="s">
        <v>2</v>
      </c>
      <c r="D377" s="90"/>
      <c r="E377" s="90"/>
      <c r="F377" s="90"/>
      <c r="G377" s="90"/>
    </row>
    <row r="378" spans="1:7" s="24" customFormat="1" ht="100.8" customHeight="1" x14ac:dyDescent="0.25">
      <c r="A378" s="1"/>
      <c r="B378" s="6" t="s">
        <v>102</v>
      </c>
      <c r="C378" s="7" t="s">
        <v>4</v>
      </c>
      <c r="D378" s="8" t="s">
        <v>5</v>
      </c>
      <c r="E378" s="9" t="s">
        <v>6</v>
      </c>
      <c r="F378" s="10" t="s">
        <v>7</v>
      </c>
      <c r="G378" s="11" t="s">
        <v>8</v>
      </c>
    </row>
    <row r="379" spans="1:7" customFormat="1" ht="19.95" customHeight="1" x14ac:dyDescent="0.25">
      <c r="A379" s="13">
        <v>1</v>
      </c>
      <c r="B379" s="14" t="s">
        <v>103</v>
      </c>
      <c r="C379" s="7"/>
      <c r="D379" s="8"/>
      <c r="E379" s="9"/>
      <c r="F379" s="10"/>
      <c r="G379" s="11"/>
    </row>
    <row r="380" spans="1:7" s="24" customFormat="1" ht="19.95" customHeight="1" x14ac:dyDescent="0.25">
      <c r="A380" s="16"/>
      <c r="B380" s="14" t="s">
        <v>104</v>
      </c>
      <c r="C380" s="7"/>
      <c r="D380" s="8"/>
      <c r="E380" s="9"/>
      <c r="F380" s="10"/>
      <c r="G380" s="11"/>
    </row>
    <row r="381" spans="1:7" s="12" customFormat="1" ht="19.95" customHeight="1" x14ac:dyDescent="0.3">
      <c r="A381" s="17"/>
      <c r="B381" s="78" t="s">
        <v>105</v>
      </c>
      <c r="C381" s="19"/>
      <c r="D381" s="20"/>
      <c r="E381" s="21">
        <v>2</v>
      </c>
      <c r="F381" s="22"/>
      <c r="G381" s="23"/>
    </row>
    <row r="382" spans="1:7" ht="19.95" customHeight="1" x14ac:dyDescent="0.35">
      <c r="B382" s="51" t="s">
        <v>72</v>
      </c>
      <c r="C382" s="19"/>
      <c r="D382" s="20"/>
      <c r="E382" s="21">
        <v>2</v>
      </c>
      <c r="F382" s="22"/>
      <c r="G382" s="23"/>
    </row>
    <row r="383" spans="1:7" ht="19.95" customHeight="1" x14ac:dyDescent="0.35">
      <c r="B383" s="51" t="s">
        <v>15</v>
      </c>
      <c r="C383" s="19"/>
      <c r="D383" s="20"/>
      <c r="E383" s="21">
        <v>2</v>
      </c>
      <c r="F383" s="22"/>
      <c r="G383" s="23"/>
    </row>
    <row r="384" spans="1:7" s="24" customFormat="1" ht="19.95" customHeight="1" x14ac:dyDescent="0.25">
      <c r="A384" s="17"/>
      <c r="B384" s="78" t="s">
        <v>349</v>
      </c>
      <c r="C384" s="19"/>
      <c r="D384" s="20"/>
      <c r="E384" s="21">
        <v>2</v>
      </c>
      <c r="F384" s="22"/>
      <c r="G384" s="23"/>
    </row>
    <row r="385" spans="1:7" s="24" customFormat="1" ht="19.95" customHeight="1" x14ac:dyDescent="0.25">
      <c r="A385" s="17"/>
      <c r="B385" s="51" t="s">
        <v>17</v>
      </c>
      <c r="C385" s="19"/>
      <c r="D385" s="20"/>
      <c r="E385" s="21">
        <v>1</v>
      </c>
      <c r="F385" s="22"/>
      <c r="G385" s="23"/>
    </row>
    <row r="386" spans="1:7" s="24" customFormat="1" ht="19.95" customHeight="1" x14ac:dyDescent="0.25">
      <c r="A386" s="17"/>
      <c r="B386" s="51" t="s">
        <v>82</v>
      </c>
      <c r="C386" s="19"/>
      <c r="D386" s="20"/>
      <c r="E386" s="21">
        <v>2</v>
      </c>
      <c r="F386" s="22"/>
      <c r="G386" s="23"/>
    </row>
    <row r="387" spans="1:7" s="24" customFormat="1" ht="19.95" customHeight="1" x14ac:dyDescent="0.25">
      <c r="A387" s="17"/>
      <c r="B387" s="51" t="s">
        <v>106</v>
      </c>
      <c r="C387" s="19"/>
      <c r="D387" s="20"/>
      <c r="E387" s="21">
        <v>1</v>
      </c>
      <c r="F387" s="22"/>
      <c r="G387" s="23"/>
    </row>
    <row r="388" spans="1:7" s="24" customFormat="1" ht="19.95" customHeight="1" x14ac:dyDescent="0.25">
      <c r="A388" s="17"/>
      <c r="B388" s="78" t="s">
        <v>107</v>
      </c>
      <c r="C388" s="19"/>
      <c r="D388" s="20">
        <v>1</v>
      </c>
      <c r="E388" s="21"/>
      <c r="F388" s="22"/>
      <c r="G388" s="23"/>
    </row>
    <row r="389" spans="1:7" s="24" customFormat="1" ht="19.95" customHeight="1" x14ac:dyDescent="0.25">
      <c r="A389" s="17"/>
      <c r="B389" s="78" t="s">
        <v>108</v>
      </c>
      <c r="C389" s="19">
        <v>1</v>
      </c>
      <c r="D389" s="20"/>
      <c r="E389" s="21"/>
      <c r="F389" s="22"/>
      <c r="G389" s="23"/>
    </row>
    <row r="390" spans="1:7" s="24" customFormat="1" ht="19.95" customHeight="1" x14ac:dyDescent="0.25">
      <c r="A390" s="17"/>
      <c r="B390" s="78" t="s">
        <v>109</v>
      </c>
      <c r="C390" s="19">
        <v>1</v>
      </c>
      <c r="D390" s="20"/>
      <c r="E390" s="21"/>
      <c r="F390" s="22"/>
      <c r="G390" s="23"/>
    </row>
    <row r="391" spans="1:7" s="24" customFormat="1" ht="19.95" customHeight="1" x14ac:dyDescent="0.25">
      <c r="A391" s="17"/>
      <c r="B391" s="51" t="s">
        <v>350</v>
      </c>
      <c r="C391" s="19">
        <v>1</v>
      </c>
      <c r="D391" s="20"/>
      <c r="E391" s="21"/>
      <c r="F391" s="22"/>
      <c r="G391" s="23"/>
    </row>
    <row r="392" spans="1:7" s="24" customFormat="1" ht="19.95" customHeight="1" x14ac:dyDescent="0.25">
      <c r="A392" s="17"/>
      <c r="B392" s="78" t="s">
        <v>352</v>
      </c>
      <c r="C392" s="19">
        <v>1</v>
      </c>
      <c r="D392" s="20"/>
      <c r="E392" s="21"/>
      <c r="F392" s="22"/>
      <c r="G392" s="23"/>
    </row>
    <row r="393" spans="1:7" s="24" customFormat="1" ht="19.95" customHeight="1" x14ac:dyDescent="0.25">
      <c r="A393" s="17"/>
      <c r="B393" s="51" t="s">
        <v>353</v>
      </c>
      <c r="C393" s="19">
        <v>1</v>
      </c>
      <c r="D393" s="20"/>
      <c r="E393" s="21"/>
      <c r="F393" s="22"/>
      <c r="G393" s="23"/>
    </row>
    <row r="394" spans="1:7" s="24" customFormat="1" ht="19.95" customHeight="1" x14ac:dyDescent="0.25">
      <c r="A394" s="17"/>
      <c r="B394" s="51" t="s">
        <v>354</v>
      </c>
      <c r="C394" s="19">
        <v>1</v>
      </c>
      <c r="D394" s="20"/>
      <c r="E394" s="21"/>
      <c r="F394" s="22"/>
      <c r="G394" s="23"/>
    </row>
    <row r="395" spans="1:7" s="24" customFormat="1" ht="19.95" customHeight="1" x14ac:dyDescent="0.25">
      <c r="A395" s="17"/>
      <c r="B395" s="78" t="s">
        <v>110</v>
      </c>
      <c r="C395" s="19"/>
      <c r="D395" s="20"/>
      <c r="E395" s="21">
        <v>1</v>
      </c>
      <c r="F395" s="22">
        <v>1</v>
      </c>
      <c r="G395" s="23"/>
    </row>
    <row r="396" spans="1:7" s="24" customFormat="1" ht="19.95" customHeight="1" x14ac:dyDescent="0.25">
      <c r="A396" s="17"/>
      <c r="B396" s="78" t="s">
        <v>24</v>
      </c>
      <c r="C396" s="19"/>
      <c r="D396" s="20"/>
      <c r="E396" s="21">
        <v>1</v>
      </c>
      <c r="F396" s="22"/>
      <c r="G396" s="23"/>
    </row>
    <row r="397" spans="1:7" s="24" customFormat="1" ht="19.95" customHeight="1" x14ac:dyDescent="0.25">
      <c r="A397" s="17"/>
      <c r="B397" s="51" t="s">
        <v>18</v>
      </c>
      <c r="C397" s="19"/>
      <c r="D397" s="20"/>
      <c r="E397" s="21">
        <v>1</v>
      </c>
      <c r="F397" s="22"/>
      <c r="G397" s="23"/>
    </row>
    <row r="398" spans="1:7" s="24" customFormat="1" ht="19.95" customHeight="1" x14ac:dyDescent="0.25">
      <c r="A398" s="17"/>
      <c r="B398" s="51" t="s">
        <v>111</v>
      </c>
      <c r="C398" s="19"/>
      <c r="D398" s="20"/>
      <c r="E398" s="21">
        <v>1</v>
      </c>
      <c r="F398" s="22"/>
      <c r="G398" s="23"/>
    </row>
    <row r="399" spans="1:7" s="24" customFormat="1" ht="19.95" customHeight="1" x14ac:dyDescent="0.25">
      <c r="A399" s="17"/>
      <c r="B399" s="51" t="s">
        <v>112</v>
      </c>
      <c r="C399" s="19"/>
      <c r="D399" s="20">
        <v>1</v>
      </c>
      <c r="E399" s="21"/>
      <c r="F399" s="64">
        <v>1</v>
      </c>
      <c r="G399" s="23"/>
    </row>
    <row r="400" spans="1:7" s="24" customFormat="1" ht="19.95" customHeight="1" x14ac:dyDescent="0.25">
      <c r="A400" s="17"/>
      <c r="B400" s="51" t="s">
        <v>113</v>
      </c>
      <c r="C400" s="19">
        <v>1</v>
      </c>
      <c r="D400" s="20"/>
      <c r="E400" s="21"/>
      <c r="F400" s="64"/>
      <c r="G400" s="23"/>
    </row>
    <row r="401" spans="1:7" s="24" customFormat="1" ht="19.95" customHeight="1" x14ac:dyDescent="0.25">
      <c r="A401" s="17"/>
      <c r="B401" s="51" t="s">
        <v>114</v>
      </c>
      <c r="C401" s="19">
        <v>1</v>
      </c>
      <c r="D401" s="20"/>
      <c r="E401" s="21"/>
      <c r="F401" s="64"/>
      <c r="G401" s="23"/>
    </row>
    <row r="402" spans="1:7" s="24" customFormat="1" ht="19.95" customHeight="1" x14ac:dyDescent="0.25">
      <c r="A402" s="17"/>
      <c r="B402" s="51" t="s">
        <v>115</v>
      </c>
      <c r="C402" s="19">
        <v>1</v>
      </c>
      <c r="D402" s="20"/>
      <c r="E402" s="21"/>
      <c r="F402" s="64"/>
      <c r="G402" s="23"/>
    </row>
    <row r="403" spans="1:7" s="24" customFormat="1" ht="19.95" customHeight="1" x14ac:dyDescent="0.25">
      <c r="A403" s="17"/>
      <c r="B403" s="51" t="s">
        <v>116</v>
      </c>
      <c r="C403" s="19"/>
      <c r="D403" s="20">
        <v>1</v>
      </c>
      <c r="E403" s="21"/>
      <c r="F403" s="64">
        <v>1</v>
      </c>
      <c r="G403" s="23"/>
    </row>
    <row r="404" spans="1:7" s="24" customFormat="1" ht="19.95" customHeight="1" x14ac:dyDescent="0.25">
      <c r="A404" s="17"/>
      <c r="B404" s="51" t="s">
        <v>117</v>
      </c>
      <c r="C404" s="19">
        <v>1</v>
      </c>
      <c r="D404" s="20"/>
      <c r="E404" s="21"/>
      <c r="F404" s="22"/>
      <c r="G404" s="23"/>
    </row>
    <row r="405" spans="1:7" s="24" customFormat="1" ht="19.95" customHeight="1" x14ac:dyDescent="0.25">
      <c r="A405" s="17"/>
      <c r="B405" s="51" t="s">
        <v>118</v>
      </c>
      <c r="C405" s="19">
        <v>1</v>
      </c>
      <c r="D405" s="20"/>
      <c r="E405" s="21"/>
      <c r="F405" s="22"/>
      <c r="G405" s="23"/>
    </row>
    <row r="406" spans="1:7" s="24" customFormat="1" ht="19.95" customHeight="1" x14ac:dyDescent="0.25">
      <c r="A406" s="17"/>
      <c r="B406" s="51" t="s">
        <v>119</v>
      </c>
      <c r="C406" s="19">
        <v>1</v>
      </c>
      <c r="D406" s="20"/>
      <c r="E406" s="21"/>
      <c r="F406" s="22"/>
      <c r="G406" s="23"/>
    </row>
    <row r="407" spans="1:7" s="24" customFormat="1" ht="19.95" customHeight="1" x14ac:dyDescent="0.25">
      <c r="A407" s="16"/>
      <c r="B407" s="28"/>
      <c r="C407" s="19">
        <v>1</v>
      </c>
      <c r="D407" s="20"/>
      <c r="E407" s="21"/>
      <c r="F407" s="22"/>
      <c r="G407" s="23"/>
    </row>
    <row r="408" spans="1:7" s="24" customFormat="1" ht="19.95" customHeight="1" x14ac:dyDescent="0.25">
      <c r="A408" s="13">
        <v>1</v>
      </c>
      <c r="B408" s="14" t="s">
        <v>91</v>
      </c>
      <c r="C408" s="7"/>
      <c r="D408" s="8"/>
      <c r="E408" s="9"/>
      <c r="F408" s="10"/>
      <c r="G408" s="11"/>
    </row>
    <row r="409" spans="1:7" s="24" customFormat="1" ht="19.95" customHeight="1" x14ac:dyDescent="0.25">
      <c r="A409" s="16"/>
      <c r="B409" s="14" t="s">
        <v>120</v>
      </c>
      <c r="C409" s="7"/>
      <c r="D409" s="8"/>
      <c r="E409" s="9"/>
      <c r="F409" s="10"/>
      <c r="G409" s="11"/>
    </row>
    <row r="410" spans="1:7" s="33" customFormat="1" ht="19.95" customHeight="1" x14ac:dyDescent="0.25">
      <c r="A410" s="17"/>
      <c r="B410" s="38" t="s">
        <v>360</v>
      </c>
      <c r="C410" s="40">
        <v>1</v>
      </c>
      <c r="D410" s="41"/>
      <c r="E410" s="42"/>
      <c r="F410" s="43"/>
      <c r="G410" s="23"/>
    </row>
    <row r="411" spans="1:7" ht="19.95" customHeight="1" x14ac:dyDescent="0.35">
      <c r="B411" s="38" t="s">
        <v>93</v>
      </c>
      <c r="C411" s="40">
        <v>1</v>
      </c>
      <c r="D411" s="41"/>
      <c r="E411" s="42"/>
      <c r="F411" s="43"/>
      <c r="G411" s="23"/>
    </row>
    <row r="412" spans="1:7" ht="19.95" customHeight="1" x14ac:dyDescent="0.35">
      <c r="B412" s="38" t="s">
        <v>361</v>
      </c>
      <c r="C412" s="40">
        <v>1</v>
      </c>
      <c r="D412" s="41"/>
      <c r="E412" s="42"/>
      <c r="F412" s="43"/>
      <c r="G412" s="23"/>
    </row>
    <row r="413" spans="1:7" s="24" customFormat="1" ht="19.95" customHeight="1" x14ac:dyDescent="0.25">
      <c r="A413" s="17"/>
      <c r="B413" s="38" t="s">
        <v>95</v>
      </c>
      <c r="C413" s="40"/>
      <c r="D413" s="41"/>
      <c r="E413" s="42"/>
      <c r="F413" s="43"/>
      <c r="G413" s="23">
        <v>1</v>
      </c>
    </row>
    <row r="414" spans="1:7" s="24" customFormat="1" ht="19.95" customHeight="1" x14ac:dyDescent="0.25">
      <c r="A414" s="17"/>
      <c r="B414" s="38" t="s">
        <v>96</v>
      </c>
      <c r="C414" s="40">
        <v>1</v>
      </c>
      <c r="D414" s="41"/>
      <c r="E414" s="42"/>
      <c r="F414" s="43"/>
      <c r="G414" s="23"/>
    </row>
    <row r="415" spans="1:7" s="24" customFormat="1" ht="19.95" customHeight="1" x14ac:dyDescent="0.25">
      <c r="A415" s="16"/>
      <c r="B415" s="28"/>
      <c r="C415" s="16"/>
      <c r="D415" s="29"/>
      <c r="E415" s="30"/>
      <c r="F415" s="31"/>
      <c r="G415" s="32"/>
    </row>
    <row r="416" spans="1:7" s="24" customFormat="1" ht="19.95" customHeight="1" x14ac:dyDescent="0.25">
      <c r="A416" s="13">
        <v>1</v>
      </c>
      <c r="B416" s="14" t="s">
        <v>97</v>
      </c>
      <c r="C416" s="7"/>
      <c r="D416" s="8"/>
      <c r="E416" s="9"/>
      <c r="F416" s="10"/>
      <c r="G416" s="11"/>
    </row>
    <row r="417" spans="1:7" s="24" customFormat="1" ht="19.95" customHeight="1" x14ac:dyDescent="0.25">
      <c r="A417" s="16"/>
      <c r="B417" s="14" t="s">
        <v>121</v>
      </c>
      <c r="C417" s="7"/>
      <c r="D417" s="8"/>
      <c r="E417" s="9"/>
      <c r="F417" s="10"/>
      <c r="G417" s="11"/>
    </row>
    <row r="418" spans="1:7" s="33" customFormat="1" ht="19.95" customHeight="1" x14ac:dyDescent="0.25">
      <c r="A418" s="17"/>
      <c r="B418" s="38" t="s">
        <v>94</v>
      </c>
      <c r="C418" s="40"/>
      <c r="D418" s="41"/>
      <c r="E418" s="9"/>
      <c r="F418" s="43"/>
      <c r="G418" s="23">
        <v>1</v>
      </c>
    </row>
    <row r="419" spans="1:7" ht="19.95" customHeight="1" x14ac:dyDescent="0.35">
      <c r="B419" s="38" t="s">
        <v>99</v>
      </c>
      <c r="C419" s="40"/>
      <c r="D419" s="41"/>
      <c r="E419" s="9"/>
      <c r="F419" s="43"/>
      <c r="G419" s="23">
        <v>1</v>
      </c>
    </row>
    <row r="420" spans="1:7" ht="19.95" customHeight="1" x14ac:dyDescent="0.35">
      <c r="B420" s="38" t="s">
        <v>100</v>
      </c>
      <c r="C420" s="40">
        <v>1</v>
      </c>
      <c r="D420" s="41"/>
      <c r="E420" s="9"/>
      <c r="F420" s="43"/>
      <c r="G420" s="23"/>
    </row>
    <row r="421" spans="1:7" s="24" customFormat="1" ht="19.95" customHeight="1" x14ac:dyDescent="0.25">
      <c r="A421" s="17"/>
      <c r="B421" s="38" t="s">
        <v>93</v>
      </c>
      <c r="C421" s="40">
        <v>1</v>
      </c>
      <c r="D421" s="41"/>
      <c r="E421" s="42"/>
      <c r="F421" s="43"/>
      <c r="G421" s="23"/>
    </row>
    <row r="422" spans="1:7" s="24" customFormat="1" ht="19.95" customHeight="1" x14ac:dyDescent="0.25">
      <c r="A422" s="17"/>
      <c r="B422" s="38" t="s">
        <v>101</v>
      </c>
      <c r="C422" s="40">
        <v>1</v>
      </c>
      <c r="D422" s="41"/>
      <c r="E422" s="42"/>
      <c r="F422" s="43"/>
      <c r="G422" s="23"/>
    </row>
    <row r="423" spans="1:7" s="24" customFormat="1" ht="19.95" customHeight="1" x14ac:dyDescent="0.25">
      <c r="A423" s="17"/>
      <c r="B423" s="38"/>
      <c r="C423" s="40"/>
      <c r="D423" s="41"/>
      <c r="E423" s="42"/>
      <c r="F423" s="43"/>
      <c r="G423" s="23"/>
    </row>
    <row r="424" spans="1:7" s="24" customFormat="1" ht="19.95" customHeight="1" x14ac:dyDescent="0.25">
      <c r="A424" s="13">
        <v>1</v>
      </c>
      <c r="B424" s="14" t="s">
        <v>25</v>
      </c>
      <c r="C424" s="7"/>
      <c r="D424" s="8"/>
      <c r="E424" s="9"/>
      <c r="F424" s="10"/>
      <c r="G424" s="11"/>
    </row>
    <row r="425" spans="1:7" s="24" customFormat="1" ht="19.95" customHeight="1" x14ac:dyDescent="0.25">
      <c r="A425" s="16"/>
      <c r="B425" s="14" t="s">
        <v>122</v>
      </c>
      <c r="C425" s="7"/>
      <c r="D425" s="8"/>
      <c r="E425" s="9"/>
      <c r="F425" s="10"/>
      <c r="G425" s="11"/>
    </row>
    <row r="426" spans="1:7" s="24" customFormat="1" ht="19.95" customHeight="1" x14ac:dyDescent="0.25">
      <c r="A426" s="17"/>
      <c r="B426" s="38" t="s">
        <v>26</v>
      </c>
      <c r="C426" s="40">
        <v>1</v>
      </c>
      <c r="D426" s="41"/>
      <c r="E426" s="42"/>
      <c r="F426" s="43"/>
      <c r="G426" s="23"/>
    </row>
    <row r="427" spans="1:7" s="24" customFormat="1" ht="19.95" customHeight="1" x14ac:dyDescent="0.25">
      <c r="A427" s="17"/>
      <c r="B427" s="38" t="s">
        <v>27</v>
      </c>
      <c r="C427" s="40">
        <v>1</v>
      </c>
      <c r="D427" s="41"/>
      <c r="E427" s="42"/>
      <c r="F427" s="43"/>
      <c r="G427" s="23"/>
    </row>
    <row r="428" spans="1:7" s="24" customFormat="1" ht="19.95" customHeight="1" x14ac:dyDescent="0.25">
      <c r="A428" s="17"/>
      <c r="B428" s="38"/>
      <c r="C428" s="40"/>
      <c r="D428" s="41"/>
      <c r="E428" s="42"/>
      <c r="F428" s="43"/>
      <c r="G428" s="23"/>
    </row>
    <row r="429" spans="1:7" s="24" customFormat="1" ht="19.95" customHeight="1" x14ac:dyDescent="0.25">
      <c r="A429" s="13">
        <v>1</v>
      </c>
      <c r="B429" s="14" t="s">
        <v>123</v>
      </c>
      <c r="C429" s="7"/>
      <c r="D429" s="8"/>
      <c r="E429" s="9"/>
      <c r="F429" s="10"/>
      <c r="G429" s="11"/>
    </row>
    <row r="430" spans="1:7" s="24" customFormat="1" ht="19.95" customHeight="1" x14ac:dyDescent="0.25">
      <c r="A430" s="16"/>
      <c r="B430" s="14"/>
      <c r="C430" s="7"/>
      <c r="D430" s="8"/>
      <c r="E430" s="9"/>
      <c r="F430" s="10"/>
      <c r="G430" s="11"/>
    </row>
    <row r="431" spans="1:7" s="24" customFormat="1" ht="19.95" customHeight="1" x14ac:dyDescent="0.25">
      <c r="A431" s="17"/>
      <c r="B431" s="38" t="s">
        <v>53</v>
      </c>
      <c r="C431" s="40">
        <v>1</v>
      </c>
      <c r="D431" s="41"/>
      <c r="E431" s="42"/>
      <c r="F431" s="43"/>
      <c r="G431" s="23"/>
    </row>
    <row r="432" spans="1:7" s="24" customFormat="1" ht="19.95" customHeight="1" x14ac:dyDescent="0.25">
      <c r="A432" s="17"/>
      <c r="B432" s="38" t="s">
        <v>54</v>
      </c>
      <c r="C432" s="40">
        <v>1</v>
      </c>
      <c r="D432" s="41"/>
      <c r="E432" s="42"/>
      <c r="F432" s="43"/>
      <c r="G432" s="23"/>
    </row>
    <row r="433" spans="1:7" s="24" customFormat="1" ht="19.95" customHeight="1" x14ac:dyDescent="0.25">
      <c r="A433" s="17"/>
      <c r="B433" s="38" t="s">
        <v>55</v>
      </c>
      <c r="C433" s="40">
        <v>1</v>
      </c>
      <c r="D433" s="41"/>
      <c r="E433" s="42"/>
      <c r="F433" s="43"/>
      <c r="G433" s="23"/>
    </row>
    <row r="434" spans="1:7" s="24" customFormat="1" ht="19.95" customHeight="1" x14ac:dyDescent="0.25">
      <c r="A434" s="16"/>
      <c r="B434" s="28"/>
      <c r="C434" s="16"/>
      <c r="D434" s="29"/>
      <c r="E434" s="30"/>
      <c r="F434" s="31"/>
      <c r="G434" s="32"/>
    </row>
    <row r="435" spans="1:7" s="24" customFormat="1" ht="19.95" customHeight="1" x14ac:dyDescent="0.25">
      <c r="A435" s="44"/>
      <c r="B435" s="45" t="s">
        <v>10</v>
      </c>
      <c r="C435" s="46">
        <f>SUM(C381:C434)</f>
        <v>25</v>
      </c>
      <c r="D435" s="46">
        <f>SUM(D381:D434)</f>
        <v>3</v>
      </c>
      <c r="E435" s="46">
        <f>SUM(E381:E434)</f>
        <v>16</v>
      </c>
      <c r="F435" s="46">
        <f>SUM(F381:F434)</f>
        <v>3</v>
      </c>
      <c r="G435" s="46">
        <f>SUM(G381:G422)</f>
        <v>3</v>
      </c>
    </row>
    <row r="436" spans="1:7" s="24" customFormat="1" ht="19.95" customHeight="1" x14ac:dyDescent="0.25">
      <c r="A436" s="16"/>
      <c r="B436" s="28"/>
      <c r="C436" s="49"/>
      <c r="D436" s="49"/>
      <c r="E436" s="50"/>
      <c r="F436" s="49"/>
      <c r="G436" s="49"/>
    </row>
    <row r="437" spans="1:7" s="24" customFormat="1" ht="36" customHeight="1" x14ac:dyDescent="0.25">
      <c r="A437" s="75" t="s">
        <v>11</v>
      </c>
      <c r="B437" s="2" t="s">
        <v>1</v>
      </c>
      <c r="C437" s="90" t="s">
        <v>2</v>
      </c>
      <c r="D437" s="90"/>
      <c r="E437" s="90"/>
      <c r="F437" s="90"/>
      <c r="G437" s="90"/>
    </row>
    <row r="438" spans="1:7" s="24" customFormat="1" ht="117.6" customHeight="1" x14ac:dyDescent="0.25">
      <c r="A438" s="1"/>
      <c r="B438" s="6" t="s">
        <v>124</v>
      </c>
      <c r="C438" s="7" t="s">
        <v>4</v>
      </c>
      <c r="D438" s="8" t="s">
        <v>5</v>
      </c>
      <c r="E438" s="9" t="s">
        <v>6</v>
      </c>
      <c r="F438" s="10" t="s">
        <v>7</v>
      </c>
      <c r="G438" s="11" t="s">
        <v>8</v>
      </c>
    </row>
    <row r="439" spans="1:7" customFormat="1" ht="19.95" customHeight="1" x14ac:dyDescent="0.25">
      <c r="A439" s="13">
        <v>1</v>
      </c>
      <c r="B439" s="14" t="s">
        <v>103</v>
      </c>
      <c r="C439" s="7"/>
      <c r="D439" s="8"/>
      <c r="E439" s="9"/>
      <c r="F439" s="10"/>
      <c r="G439" s="11"/>
    </row>
    <row r="440" spans="1:7" s="24" customFormat="1" ht="19.95" customHeight="1" x14ac:dyDescent="0.25">
      <c r="A440" s="16"/>
      <c r="B440" s="14" t="s">
        <v>362</v>
      </c>
      <c r="C440" s="7"/>
      <c r="D440" s="8"/>
      <c r="E440" s="9"/>
      <c r="F440" s="10"/>
      <c r="G440" s="11"/>
    </row>
    <row r="441" spans="1:7" s="12" customFormat="1" ht="19.95" customHeight="1" x14ac:dyDescent="0.3">
      <c r="A441" s="17"/>
      <c r="B441" s="79" t="s">
        <v>105</v>
      </c>
      <c r="C441" s="19"/>
      <c r="D441" s="20"/>
      <c r="E441" s="21">
        <v>2</v>
      </c>
      <c r="F441" s="22"/>
      <c r="G441" s="23"/>
    </row>
    <row r="442" spans="1:7" ht="19.95" customHeight="1" x14ac:dyDescent="0.35">
      <c r="B442" s="38" t="s">
        <v>72</v>
      </c>
      <c r="C442" s="19"/>
      <c r="D442" s="20"/>
      <c r="E442" s="21">
        <v>2</v>
      </c>
      <c r="F442" s="22"/>
      <c r="G442" s="23"/>
    </row>
    <row r="443" spans="1:7" ht="19.95" customHeight="1" x14ac:dyDescent="0.35">
      <c r="B443" s="38" t="s">
        <v>15</v>
      </c>
      <c r="C443" s="19"/>
      <c r="D443" s="20"/>
      <c r="E443" s="21">
        <v>2</v>
      </c>
      <c r="F443" s="22"/>
      <c r="G443" s="23"/>
    </row>
    <row r="444" spans="1:7" s="24" customFormat="1" ht="19.95" customHeight="1" x14ac:dyDescent="0.25">
      <c r="A444" s="17"/>
      <c r="B444" s="79" t="s">
        <v>349</v>
      </c>
      <c r="C444" s="19"/>
      <c r="D444" s="20"/>
      <c r="E444" s="21">
        <v>2</v>
      </c>
      <c r="F444" s="22"/>
      <c r="G444" s="23"/>
    </row>
    <row r="445" spans="1:7" s="24" customFormat="1" ht="19.95" customHeight="1" x14ac:dyDescent="0.25">
      <c r="A445" s="17"/>
      <c r="B445" s="38" t="s">
        <v>17</v>
      </c>
      <c r="C445" s="19"/>
      <c r="D445" s="20"/>
      <c r="E445" s="21">
        <v>1</v>
      </c>
      <c r="F445" s="22"/>
      <c r="G445" s="23"/>
    </row>
    <row r="446" spans="1:7" s="24" customFormat="1" ht="19.95" customHeight="1" x14ac:dyDescent="0.25">
      <c r="A446" s="17"/>
      <c r="B446" s="38" t="s">
        <v>82</v>
      </c>
      <c r="C446" s="19"/>
      <c r="D446" s="20"/>
      <c r="E446" s="21">
        <v>2</v>
      </c>
      <c r="F446" s="22"/>
      <c r="G446" s="23"/>
    </row>
    <row r="447" spans="1:7" s="24" customFormat="1" ht="19.95" customHeight="1" x14ac:dyDescent="0.25">
      <c r="A447" s="17"/>
      <c r="B447" s="38" t="s">
        <v>106</v>
      </c>
      <c r="C447" s="19"/>
      <c r="D447" s="20"/>
      <c r="E447" s="21">
        <v>1</v>
      </c>
      <c r="F447" s="22"/>
      <c r="G447" s="23"/>
    </row>
    <row r="448" spans="1:7" s="24" customFormat="1" ht="19.95" customHeight="1" x14ac:dyDescent="0.25">
      <c r="A448" s="17"/>
      <c r="B448" s="79" t="s">
        <v>107</v>
      </c>
      <c r="C448" s="19"/>
      <c r="D448" s="20">
        <v>1</v>
      </c>
      <c r="E448" s="21"/>
      <c r="F448" s="22"/>
      <c r="G448" s="23"/>
    </row>
    <row r="449" spans="1:7" s="24" customFormat="1" ht="19.95" customHeight="1" x14ac:dyDescent="0.25">
      <c r="A449" s="17"/>
      <c r="B449" s="79" t="s">
        <v>108</v>
      </c>
      <c r="C449" s="19">
        <v>1</v>
      </c>
      <c r="D449" s="20"/>
      <c r="E449" s="21"/>
      <c r="F449" s="22"/>
      <c r="G449" s="23"/>
    </row>
    <row r="450" spans="1:7" s="24" customFormat="1" ht="19.95" customHeight="1" x14ac:dyDescent="0.25">
      <c r="A450" s="17"/>
      <c r="B450" s="79" t="s">
        <v>109</v>
      </c>
      <c r="C450" s="19">
        <v>1</v>
      </c>
      <c r="D450" s="20"/>
      <c r="E450" s="21"/>
      <c r="F450" s="22"/>
      <c r="G450" s="23"/>
    </row>
    <row r="451" spans="1:7" s="24" customFormat="1" ht="19.95" customHeight="1" x14ac:dyDescent="0.25">
      <c r="A451" s="17"/>
      <c r="B451" s="38" t="s">
        <v>350</v>
      </c>
      <c r="C451" s="19">
        <v>1</v>
      </c>
      <c r="D451" s="20"/>
      <c r="E451" s="21"/>
      <c r="F451" s="22"/>
      <c r="G451" s="23"/>
    </row>
    <row r="452" spans="1:7" s="24" customFormat="1" ht="19.95" customHeight="1" x14ac:dyDescent="0.25">
      <c r="A452" s="17"/>
      <c r="B452" s="79" t="s">
        <v>363</v>
      </c>
      <c r="C452" s="19">
        <v>1</v>
      </c>
      <c r="D452" s="20"/>
      <c r="E452" s="21"/>
      <c r="F452" s="22"/>
      <c r="G452" s="23"/>
    </row>
    <row r="453" spans="1:7" s="24" customFormat="1" ht="19.95" customHeight="1" x14ac:dyDescent="0.25">
      <c r="A453" s="17"/>
      <c r="B453" s="38" t="s">
        <v>353</v>
      </c>
      <c r="C453" s="19">
        <v>1</v>
      </c>
      <c r="D453" s="20"/>
      <c r="E453" s="21"/>
      <c r="F453" s="22"/>
      <c r="G453" s="23"/>
    </row>
    <row r="454" spans="1:7" s="24" customFormat="1" ht="19.95" customHeight="1" x14ac:dyDescent="0.25">
      <c r="A454" s="17"/>
      <c r="B454" s="38" t="s">
        <v>125</v>
      </c>
      <c r="C454" s="19">
        <v>1</v>
      </c>
      <c r="D454" s="20"/>
      <c r="E454" s="21"/>
      <c r="F454" s="22"/>
      <c r="G454" s="23"/>
    </row>
    <row r="455" spans="1:7" s="24" customFormat="1" ht="19.95" customHeight="1" x14ac:dyDescent="0.25">
      <c r="A455" s="17"/>
      <c r="B455" s="79" t="s">
        <v>110</v>
      </c>
      <c r="C455" s="19"/>
      <c r="D455" s="20"/>
      <c r="E455" s="21">
        <v>1</v>
      </c>
      <c r="F455" s="22">
        <v>1</v>
      </c>
      <c r="G455" s="23"/>
    </row>
    <row r="456" spans="1:7" s="24" customFormat="1" ht="19.95" customHeight="1" x14ac:dyDescent="0.25">
      <c r="A456" s="17"/>
      <c r="B456" s="79" t="s">
        <v>24</v>
      </c>
      <c r="C456" s="19"/>
      <c r="D456" s="20"/>
      <c r="E456" s="21">
        <v>1</v>
      </c>
      <c r="F456" s="22"/>
      <c r="G456" s="23"/>
    </row>
    <row r="457" spans="1:7" s="24" customFormat="1" ht="19.95" customHeight="1" x14ac:dyDescent="0.25">
      <c r="A457" s="17"/>
      <c r="B457" s="38" t="s">
        <v>18</v>
      </c>
      <c r="C457" s="19"/>
      <c r="D457" s="20"/>
      <c r="E457" s="21">
        <v>1</v>
      </c>
      <c r="F457" s="22"/>
      <c r="G457" s="23"/>
    </row>
    <row r="458" spans="1:7" s="24" customFormat="1" ht="19.95" customHeight="1" x14ac:dyDescent="0.25">
      <c r="A458" s="17"/>
      <c r="B458" s="38" t="s">
        <v>111</v>
      </c>
      <c r="C458" s="19"/>
      <c r="D458" s="20"/>
      <c r="E458" s="21">
        <v>1</v>
      </c>
      <c r="F458" s="22"/>
      <c r="G458" s="23"/>
    </row>
    <row r="459" spans="1:7" s="24" customFormat="1" ht="19.95" customHeight="1" x14ac:dyDescent="0.25">
      <c r="A459" s="17"/>
      <c r="B459" s="38" t="s">
        <v>126</v>
      </c>
      <c r="C459" s="19"/>
      <c r="D459" s="20">
        <v>1</v>
      </c>
      <c r="E459" s="21"/>
      <c r="F459" s="64">
        <v>1</v>
      </c>
      <c r="G459" s="23"/>
    </row>
    <row r="460" spans="1:7" s="24" customFormat="1" ht="19.95" customHeight="1" x14ac:dyDescent="0.25">
      <c r="A460" s="17"/>
      <c r="B460" s="38" t="s">
        <v>113</v>
      </c>
      <c r="C460" s="19">
        <v>1</v>
      </c>
      <c r="D460" s="20"/>
      <c r="E460" s="21"/>
      <c r="F460" s="64"/>
      <c r="G460" s="23"/>
    </row>
    <row r="461" spans="1:7" s="24" customFormat="1" ht="19.95" customHeight="1" x14ac:dyDescent="0.25">
      <c r="A461" s="17"/>
      <c r="B461" s="38" t="s">
        <v>127</v>
      </c>
      <c r="C461" s="19">
        <v>1</v>
      </c>
      <c r="D461" s="20"/>
      <c r="E461" s="21"/>
      <c r="F461" s="64"/>
      <c r="G461" s="23"/>
    </row>
    <row r="462" spans="1:7" s="24" customFormat="1" ht="19.95" customHeight="1" x14ac:dyDescent="0.25">
      <c r="A462" s="17"/>
      <c r="B462" s="38" t="s">
        <v>128</v>
      </c>
      <c r="C462" s="19">
        <v>1</v>
      </c>
      <c r="D462" s="20"/>
      <c r="E462" s="21"/>
      <c r="F462" s="64"/>
      <c r="G462" s="23"/>
    </row>
    <row r="463" spans="1:7" s="24" customFormat="1" ht="19.95" customHeight="1" x14ac:dyDescent="0.25">
      <c r="A463" s="17"/>
      <c r="B463" s="38" t="s">
        <v>116</v>
      </c>
      <c r="C463" s="19"/>
      <c r="D463" s="20">
        <v>1</v>
      </c>
      <c r="E463" s="21"/>
      <c r="F463" s="64">
        <v>1</v>
      </c>
      <c r="G463" s="23"/>
    </row>
    <row r="464" spans="1:7" s="24" customFormat="1" ht="19.95" customHeight="1" x14ac:dyDescent="0.25">
      <c r="A464" s="17"/>
      <c r="B464" s="38" t="s">
        <v>117</v>
      </c>
      <c r="C464" s="19">
        <v>1</v>
      </c>
      <c r="D464" s="20"/>
      <c r="E464" s="21"/>
      <c r="F464" s="22"/>
      <c r="G464" s="23"/>
    </row>
    <row r="465" spans="1:7" s="24" customFormat="1" ht="19.95" customHeight="1" x14ac:dyDescent="0.25">
      <c r="A465" s="17"/>
      <c r="B465" s="38" t="s">
        <v>129</v>
      </c>
      <c r="C465" s="19">
        <v>1</v>
      </c>
      <c r="D465" s="20"/>
      <c r="E465" s="21"/>
      <c r="F465" s="22"/>
      <c r="G465" s="23"/>
    </row>
    <row r="466" spans="1:7" s="24" customFormat="1" ht="19.95" customHeight="1" x14ac:dyDescent="0.25">
      <c r="A466" s="17"/>
      <c r="B466" s="38" t="s">
        <v>119</v>
      </c>
      <c r="C466" s="19">
        <v>1</v>
      </c>
      <c r="D466" s="20"/>
      <c r="E466" s="21"/>
      <c r="F466" s="22"/>
      <c r="G466" s="23"/>
    </row>
    <row r="467" spans="1:7" s="24" customFormat="1" ht="19.95" customHeight="1" x14ac:dyDescent="0.25">
      <c r="A467" s="16"/>
      <c r="B467" s="28"/>
      <c r="C467" s="16"/>
      <c r="D467" s="29"/>
      <c r="E467" s="30"/>
      <c r="F467" s="31"/>
      <c r="G467" s="32"/>
    </row>
    <row r="468" spans="1:7" s="24" customFormat="1" ht="19.95" customHeight="1" x14ac:dyDescent="0.25">
      <c r="A468" s="13">
        <v>2</v>
      </c>
      <c r="B468" s="14" t="s">
        <v>248</v>
      </c>
      <c r="C468" s="7"/>
      <c r="D468" s="8"/>
      <c r="E468" s="9"/>
      <c r="F468" s="10"/>
      <c r="G468" s="11"/>
    </row>
    <row r="469" spans="1:7" s="24" customFormat="1" ht="19.95" customHeight="1" x14ac:dyDescent="0.25">
      <c r="A469" s="16"/>
      <c r="B469" s="14" t="s">
        <v>249</v>
      </c>
      <c r="C469" s="7"/>
      <c r="D469" s="8"/>
      <c r="E469" s="9"/>
      <c r="F469" s="10"/>
      <c r="G469" s="11"/>
    </row>
    <row r="470" spans="1:7" s="33" customFormat="1" ht="19.95" customHeight="1" x14ac:dyDescent="0.25">
      <c r="A470" s="17"/>
      <c r="B470" s="38" t="s">
        <v>131</v>
      </c>
      <c r="C470" s="40"/>
      <c r="D470" s="41">
        <f>A468*1</f>
        <v>2</v>
      </c>
      <c r="E470" s="42"/>
      <c r="F470" s="43"/>
      <c r="G470" s="23"/>
    </row>
    <row r="471" spans="1:7" ht="19.95" customHeight="1" x14ac:dyDescent="0.35">
      <c r="B471" s="38" t="s">
        <v>132</v>
      </c>
      <c r="C471" s="40">
        <f>D470</f>
        <v>2</v>
      </c>
      <c r="D471" s="41"/>
      <c r="E471" s="42"/>
      <c r="F471" s="43"/>
      <c r="G471" s="23"/>
    </row>
    <row r="472" spans="1:7" ht="19.95" customHeight="1" x14ac:dyDescent="0.35">
      <c r="B472" s="38" t="s">
        <v>93</v>
      </c>
      <c r="C472" s="40">
        <f>D470</f>
        <v>2</v>
      </c>
      <c r="D472" s="41"/>
      <c r="E472" s="42"/>
      <c r="F472" s="43"/>
      <c r="G472" s="23"/>
    </row>
    <row r="473" spans="1:7" s="24" customFormat="1" ht="19.95" customHeight="1" x14ac:dyDescent="0.25">
      <c r="A473" s="17"/>
      <c r="B473" s="38" t="s">
        <v>133</v>
      </c>
      <c r="C473" s="40">
        <f>D470</f>
        <v>2</v>
      </c>
      <c r="D473" s="41"/>
      <c r="E473" s="42"/>
      <c r="F473" s="43"/>
      <c r="G473" s="23"/>
    </row>
    <row r="474" spans="1:7" s="24" customFormat="1" ht="19.95" customHeight="1" x14ac:dyDescent="0.25">
      <c r="A474" s="16"/>
      <c r="B474" s="28"/>
      <c r="C474" s="16"/>
      <c r="D474" s="29"/>
      <c r="E474" s="30"/>
      <c r="F474" s="31"/>
      <c r="G474" s="32"/>
    </row>
    <row r="475" spans="1:7" s="24" customFormat="1" ht="19.95" customHeight="1" x14ac:dyDescent="0.25">
      <c r="A475" s="13">
        <v>1</v>
      </c>
      <c r="B475" s="14" t="s">
        <v>364</v>
      </c>
      <c r="C475" s="7"/>
      <c r="D475" s="8"/>
      <c r="E475" s="9"/>
      <c r="F475" s="10"/>
      <c r="G475" s="11"/>
    </row>
    <row r="476" spans="1:7" s="24" customFormat="1" ht="19.95" customHeight="1" x14ac:dyDescent="0.25">
      <c r="A476" s="16"/>
      <c r="B476" s="14" t="s">
        <v>365</v>
      </c>
      <c r="C476" s="7"/>
      <c r="D476" s="8"/>
      <c r="E476" s="9"/>
      <c r="F476" s="10"/>
      <c r="G476" s="11"/>
    </row>
    <row r="477" spans="1:7" s="33" customFormat="1" ht="19.95" customHeight="1" x14ac:dyDescent="0.25">
      <c r="A477" s="17"/>
      <c r="B477" s="38" t="s">
        <v>131</v>
      </c>
      <c r="C477" s="40"/>
      <c r="D477" s="41">
        <v>1</v>
      </c>
      <c r="E477" s="42"/>
      <c r="F477" s="43"/>
      <c r="G477" s="23"/>
    </row>
    <row r="478" spans="1:7" ht="19.95" customHeight="1" x14ac:dyDescent="0.35">
      <c r="B478" s="38" t="s">
        <v>132</v>
      </c>
      <c r="C478" s="40">
        <v>1</v>
      </c>
      <c r="D478" s="41"/>
      <c r="E478" s="42"/>
      <c r="F478" s="43"/>
      <c r="G478" s="23"/>
    </row>
    <row r="479" spans="1:7" ht="19.95" customHeight="1" x14ac:dyDescent="0.35">
      <c r="B479" s="38" t="s">
        <v>93</v>
      </c>
      <c r="C479" s="40">
        <v>1</v>
      </c>
      <c r="D479" s="41"/>
      <c r="E479" s="42"/>
      <c r="F479" s="43"/>
      <c r="G479" s="23"/>
    </row>
    <row r="480" spans="1:7" s="24" customFormat="1" ht="19.95" customHeight="1" x14ac:dyDescent="0.25">
      <c r="A480" s="17"/>
      <c r="B480" s="38" t="s">
        <v>133</v>
      </c>
      <c r="C480" s="40">
        <v>1</v>
      </c>
      <c r="D480" s="41"/>
      <c r="E480" s="42"/>
      <c r="F480" s="43"/>
      <c r="G480" s="23"/>
    </row>
    <row r="481" spans="1:7" s="24" customFormat="1" ht="19.95" customHeight="1" x14ac:dyDescent="0.25">
      <c r="A481" s="47"/>
      <c r="B481" s="81"/>
      <c r="C481" s="47"/>
      <c r="D481" s="82"/>
      <c r="E481" s="83"/>
      <c r="F481" s="84"/>
      <c r="G481" s="85"/>
    </row>
    <row r="482" spans="1:7" s="24" customFormat="1" ht="19.95" customHeight="1" x14ac:dyDescent="0.25">
      <c r="A482" s="13">
        <v>2</v>
      </c>
      <c r="B482" s="14" t="s">
        <v>366</v>
      </c>
      <c r="C482" s="7"/>
      <c r="D482" s="8"/>
      <c r="E482" s="9"/>
      <c r="F482" s="10"/>
      <c r="G482" s="11"/>
    </row>
    <row r="483" spans="1:7" s="24" customFormat="1" ht="19.95" customHeight="1" x14ac:dyDescent="0.25">
      <c r="A483" s="16"/>
      <c r="B483" s="14" t="s">
        <v>367</v>
      </c>
      <c r="C483" s="7"/>
      <c r="D483" s="8"/>
      <c r="E483" s="9"/>
      <c r="F483" s="10"/>
      <c r="G483" s="11"/>
    </row>
    <row r="484" spans="1:7" s="33" customFormat="1" ht="19.95" customHeight="1" x14ac:dyDescent="0.25">
      <c r="A484" s="17"/>
      <c r="B484" s="38" t="s">
        <v>134</v>
      </c>
      <c r="C484" s="40">
        <f>A482*2</f>
        <v>4</v>
      </c>
      <c r="D484" s="41"/>
      <c r="E484" s="42"/>
      <c r="F484" s="43"/>
      <c r="G484" s="23"/>
    </row>
    <row r="485" spans="1:7" s="33" customFormat="1" ht="19.95" customHeight="1" x14ac:dyDescent="0.25">
      <c r="A485" s="17"/>
      <c r="B485" s="38" t="s">
        <v>135</v>
      </c>
      <c r="C485" s="40">
        <f>C484</f>
        <v>4</v>
      </c>
      <c r="D485" s="41"/>
      <c r="E485" s="42"/>
      <c r="F485" s="43"/>
      <c r="G485" s="23"/>
    </row>
    <row r="486" spans="1:7" s="33" customFormat="1" ht="19.95" customHeight="1" x14ac:dyDescent="0.25">
      <c r="A486" s="17"/>
      <c r="B486" s="38"/>
      <c r="C486" s="40"/>
      <c r="D486" s="41"/>
      <c r="E486" s="42"/>
      <c r="F486" s="43"/>
      <c r="G486" s="23"/>
    </row>
    <row r="487" spans="1:7" s="33" customFormat="1" ht="19.95" customHeight="1" x14ac:dyDescent="0.25">
      <c r="A487" s="13">
        <v>1</v>
      </c>
      <c r="B487" s="14" t="s">
        <v>368</v>
      </c>
      <c r="C487" s="7"/>
      <c r="D487" s="8"/>
      <c r="E487" s="9"/>
      <c r="F487" s="10"/>
      <c r="G487" s="11"/>
    </row>
    <row r="488" spans="1:7" s="33" customFormat="1" ht="19.95" customHeight="1" x14ac:dyDescent="0.25">
      <c r="A488" s="16"/>
      <c r="B488" s="14"/>
      <c r="C488" s="7"/>
      <c r="D488" s="8"/>
      <c r="E488" s="9"/>
      <c r="F488" s="10"/>
      <c r="G488" s="11"/>
    </row>
    <row r="489" spans="1:7" s="33" customFormat="1" ht="19.95" customHeight="1" x14ac:dyDescent="0.25">
      <c r="A489" s="17"/>
      <c r="B489" s="38" t="s">
        <v>134</v>
      </c>
      <c r="C489" s="40">
        <v>2</v>
      </c>
      <c r="D489" s="41"/>
      <c r="E489" s="42"/>
      <c r="F489" s="43"/>
      <c r="G489" s="23"/>
    </row>
    <row r="490" spans="1:7" s="33" customFormat="1" ht="19.95" customHeight="1" x14ac:dyDescent="0.25">
      <c r="A490" s="17"/>
      <c r="B490" s="38" t="s">
        <v>135</v>
      </c>
      <c r="C490" s="40">
        <v>2</v>
      </c>
      <c r="D490" s="41"/>
      <c r="E490" s="42"/>
      <c r="F490" s="43"/>
      <c r="G490" s="23"/>
    </row>
    <row r="491" spans="1:7" s="33" customFormat="1" ht="19.95" customHeight="1" x14ac:dyDescent="0.25">
      <c r="A491" s="17"/>
      <c r="B491" s="38" t="s">
        <v>369</v>
      </c>
      <c r="C491" s="40"/>
      <c r="D491" s="41"/>
      <c r="E491" s="42">
        <v>1</v>
      </c>
      <c r="F491" s="43"/>
      <c r="G491" s="23"/>
    </row>
    <row r="492" spans="1:7" s="33" customFormat="1" ht="19.95" customHeight="1" x14ac:dyDescent="0.25">
      <c r="A492" s="47"/>
      <c r="B492" s="81"/>
      <c r="C492" s="47"/>
      <c r="D492" s="82"/>
      <c r="E492" s="83"/>
      <c r="F492" s="84"/>
      <c r="G492" s="85"/>
    </row>
    <row r="493" spans="1:7" s="33" customFormat="1" ht="19.95" customHeight="1" x14ac:dyDescent="0.25">
      <c r="A493" s="44"/>
      <c r="B493" s="45" t="s">
        <v>10</v>
      </c>
      <c r="C493" s="46">
        <f>SUM(C441:C492)</f>
        <v>33</v>
      </c>
      <c r="D493" s="46">
        <f>SUM(D441:D492)</f>
        <v>6</v>
      </c>
      <c r="E493" s="46">
        <f>SUM(E441:E492)</f>
        <v>17</v>
      </c>
      <c r="F493" s="46">
        <f>SUM(F441:F492)</f>
        <v>3</v>
      </c>
      <c r="G493" s="46">
        <f>SUM(G441:G492)</f>
        <v>0</v>
      </c>
    </row>
    <row r="494" spans="1:7" s="33" customFormat="1" ht="19.95" customHeight="1" x14ac:dyDescent="0.25">
      <c r="A494" s="47"/>
      <c r="B494" s="48"/>
      <c r="C494" s="40"/>
      <c r="D494" s="40"/>
      <c r="E494" s="40"/>
      <c r="F494" s="40"/>
      <c r="G494" s="40"/>
    </row>
    <row r="495" spans="1:7" s="33" customFormat="1" ht="38.4" customHeight="1" x14ac:dyDescent="0.25">
      <c r="A495" s="75" t="s">
        <v>11</v>
      </c>
      <c r="B495" s="2" t="s">
        <v>1</v>
      </c>
      <c r="C495" s="90" t="s">
        <v>2</v>
      </c>
      <c r="D495" s="90"/>
      <c r="E495" s="90"/>
      <c r="F495" s="90"/>
      <c r="G495" s="90"/>
    </row>
    <row r="496" spans="1:7" s="24" customFormat="1" ht="103.2" customHeight="1" x14ac:dyDescent="0.25">
      <c r="A496" s="1"/>
      <c r="B496" s="6" t="s">
        <v>136</v>
      </c>
      <c r="C496" s="7" t="s">
        <v>4</v>
      </c>
      <c r="D496" s="8" t="s">
        <v>5</v>
      </c>
      <c r="E496" s="9" t="s">
        <v>6</v>
      </c>
      <c r="F496" s="10" t="s">
        <v>7</v>
      </c>
      <c r="G496" s="11" t="s">
        <v>8</v>
      </c>
    </row>
    <row r="497" spans="1:7" s="24" customFormat="1" ht="19.95" customHeight="1" x14ac:dyDescent="0.25">
      <c r="A497" s="13">
        <v>3</v>
      </c>
      <c r="B497" s="14" t="s">
        <v>91</v>
      </c>
      <c r="C497" s="7"/>
      <c r="D497" s="8"/>
      <c r="E497" s="9"/>
      <c r="F497" s="10"/>
      <c r="G497" s="11"/>
    </row>
    <row r="498" spans="1:7" s="24" customFormat="1" ht="19.95" customHeight="1" x14ac:dyDescent="0.25">
      <c r="A498" s="16"/>
      <c r="B498" s="14" t="s">
        <v>370</v>
      </c>
      <c r="C498" s="7"/>
      <c r="D498" s="8"/>
      <c r="E498" s="9"/>
      <c r="F498" s="10"/>
      <c r="G498" s="11"/>
    </row>
    <row r="499" spans="1:7" s="12" customFormat="1" ht="19.95" customHeight="1" x14ac:dyDescent="0.3">
      <c r="A499" s="17"/>
      <c r="B499" s="38" t="s">
        <v>360</v>
      </c>
      <c r="C499" s="40">
        <f>1*A497</f>
        <v>3</v>
      </c>
      <c r="D499" s="41"/>
      <c r="E499" s="42"/>
      <c r="F499" s="43"/>
      <c r="G499" s="23"/>
    </row>
    <row r="500" spans="1:7" ht="19.95" customHeight="1" x14ac:dyDescent="0.35">
      <c r="B500" s="38" t="s">
        <v>93</v>
      </c>
      <c r="C500" s="40">
        <f>1*A497</f>
        <v>3</v>
      </c>
      <c r="D500" s="41"/>
      <c r="E500" s="42"/>
      <c r="F500" s="43"/>
      <c r="G500" s="23"/>
    </row>
    <row r="501" spans="1:7" ht="19.95" customHeight="1" x14ac:dyDescent="0.35">
      <c r="B501" s="38" t="s">
        <v>361</v>
      </c>
      <c r="C501" s="40">
        <f>1*A497</f>
        <v>3</v>
      </c>
      <c r="D501" s="41"/>
      <c r="E501" s="42"/>
      <c r="F501" s="43"/>
      <c r="G501" s="23"/>
    </row>
    <row r="502" spans="1:7" s="24" customFormat="1" ht="19.95" customHeight="1" x14ac:dyDescent="0.25">
      <c r="A502" s="17"/>
      <c r="B502" s="38" t="s">
        <v>95</v>
      </c>
      <c r="C502" s="40"/>
      <c r="D502" s="41"/>
      <c r="E502" s="42"/>
      <c r="F502" s="43"/>
      <c r="G502" s="23">
        <v>3</v>
      </c>
    </row>
    <row r="503" spans="1:7" s="24" customFormat="1" ht="19.95" customHeight="1" x14ac:dyDescent="0.25">
      <c r="A503" s="17"/>
      <c r="B503" s="38" t="s">
        <v>96</v>
      </c>
      <c r="C503" s="40">
        <f>1*A497</f>
        <v>3</v>
      </c>
      <c r="D503" s="41"/>
      <c r="E503" s="42"/>
      <c r="F503" s="43"/>
      <c r="G503" s="23"/>
    </row>
    <row r="504" spans="1:7" s="24" customFormat="1" ht="19.95" customHeight="1" x14ac:dyDescent="0.25">
      <c r="A504" s="16"/>
      <c r="B504" s="28"/>
      <c r="C504" s="16"/>
      <c r="D504" s="29"/>
      <c r="E504" s="30"/>
      <c r="F504" s="31"/>
      <c r="G504" s="32"/>
    </row>
    <row r="505" spans="1:7" s="24" customFormat="1" ht="19.95" customHeight="1" x14ac:dyDescent="0.25">
      <c r="A505" s="13">
        <v>4</v>
      </c>
      <c r="B505" s="14" t="s">
        <v>130</v>
      </c>
      <c r="C505" s="7"/>
      <c r="D505" s="8"/>
      <c r="E505" s="9"/>
      <c r="F505" s="10"/>
      <c r="G505" s="11"/>
    </row>
    <row r="506" spans="1:7" s="24" customFormat="1" ht="46.8" customHeight="1" x14ac:dyDescent="0.25">
      <c r="A506" s="16"/>
      <c r="B506" s="14" t="s">
        <v>371</v>
      </c>
      <c r="C506" s="7"/>
      <c r="D506" s="8"/>
      <c r="E506" s="9"/>
      <c r="F506" s="10"/>
      <c r="G506" s="11"/>
    </row>
    <row r="507" spans="1:7" s="33" customFormat="1" ht="19.95" customHeight="1" x14ac:dyDescent="0.25">
      <c r="A507" s="17"/>
      <c r="B507" s="38" t="s">
        <v>131</v>
      </c>
      <c r="C507" s="40"/>
      <c r="D507" s="41">
        <f>1*A505</f>
        <v>4</v>
      </c>
      <c r="E507" s="42"/>
      <c r="F507" s="43"/>
      <c r="G507" s="23"/>
    </row>
    <row r="508" spans="1:7" ht="19.95" customHeight="1" x14ac:dyDescent="0.35">
      <c r="B508" s="38" t="s">
        <v>132</v>
      </c>
      <c r="C508" s="40">
        <f>1*A505</f>
        <v>4</v>
      </c>
      <c r="D508" s="41"/>
      <c r="E508" s="42"/>
      <c r="F508" s="43"/>
      <c r="G508" s="23"/>
    </row>
    <row r="509" spans="1:7" ht="19.95" customHeight="1" x14ac:dyDescent="0.35">
      <c r="B509" s="38" t="s">
        <v>93</v>
      </c>
      <c r="C509" s="40">
        <f>1*A505</f>
        <v>4</v>
      </c>
      <c r="D509" s="41"/>
      <c r="E509" s="42"/>
      <c r="F509" s="43"/>
      <c r="G509" s="23"/>
    </row>
    <row r="510" spans="1:7" s="24" customFormat="1" ht="19.95" customHeight="1" x14ac:dyDescent="0.25">
      <c r="A510" s="17"/>
      <c r="B510" s="38" t="s">
        <v>133</v>
      </c>
      <c r="C510" s="40">
        <f>1*A505</f>
        <v>4</v>
      </c>
      <c r="D510" s="41"/>
      <c r="E510" s="42"/>
      <c r="F510" s="43"/>
      <c r="G510" s="23"/>
    </row>
    <row r="511" spans="1:7" s="24" customFormat="1" ht="19.95" customHeight="1" x14ac:dyDescent="0.25">
      <c r="A511" s="16"/>
      <c r="B511" s="28"/>
      <c r="C511" s="16"/>
      <c r="D511" s="29"/>
      <c r="E511" s="30"/>
      <c r="F511" s="31"/>
      <c r="G511" s="32"/>
    </row>
    <row r="512" spans="1:7" s="24" customFormat="1" ht="19.95" customHeight="1" x14ac:dyDescent="0.25">
      <c r="A512" s="13">
        <v>2</v>
      </c>
      <c r="B512" s="14" t="s">
        <v>137</v>
      </c>
      <c r="C512" s="7"/>
      <c r="D512" s="8"/>
      <c r="E512" s="9"/>
      <c r="F512" s="10"/>
      <c r="G512" s="11"/>
    </row>
    <row r="513" spans="1:7" s="24" customFormat="1" ht="19.95" customHeight="1" x14ac:dyDescent="0.25">
      <c r="A513" s="16"/>
      <c r="B513" s="14" t="s">
        <v>372</v>
      </c>
      <c r="C513" s="7"/>
      <c r="D513" s="8"/>
      <c r="E513" s="9"/>
      <c r="F513" s="10"/>
      <c r="G513" s="11"/>
    </row>
    <row r="514" spans="1:7" s="33" customFormat="1" ht="19.95" customHeight="1" x14ac:dyDescent="0.25">
      <c r="A514" s="17"/>
      <c r="B514" s="38" t="s">
        <v>373</v>
      </c>
      <c r="C514" s="40">
        <f>1*A512</f>
        <v>2</v>
      </c>
      <c r="D514" s="41"/>
      <c r="E514" s="42"/>
      <c r="F514" s="43"/>
      <c r="G514" s="23"/>
    </row>
    <row r="515" spans="1:7" ht="19.95" customHeight="1" x14ac:dyDescent="0.35">
      <c r="B515" s="38" t="s">
        <v>93</v>
      </c>
      <c r="C515" s="40">
        <f>1*A512</f>
        <v>2</v>
      </c>
      <c r="D515" s="41"/>
      <c r="E515" s="42"/>
      <c r="F515" s="43"/>
      <c r="G515" s="23"/>
    </row>
    <row r="516" spans="1:7" ht="19.95" customHeight="1" x14ac:dyDescent="0.35">
      <c r="B516" s="38" t="s">
        <v>361</v>
      </c>
      <c r="C516" s="40">
        <f>1*A512</f>
        <v>2</v>
      </c>
      <c r="D516" s="41"/>
      <c r="E516" s="42"/>
      <c r="F516" s="43"/>
      <c r="G516" s="23"/>
    </row>
    <row r="517" spans="1:7" s="24" customFormat="1" ht="19.95" customHeight="1" x14ac:dyDescent="0.25">
      <c r="A517" s="17"/>
      <c r="B517" s="38" t="s">
        <v>95</v>
      </c>
      <c r="C517" s="40"/>
      <c r="D517" s="41"/>
      <c r="E517" s="42"/>
      <c r="F517" s="43"/>
      <c r="G517" s="23">
        <v>2</v>
      </c>
    </row>
    <row r="518" spans="1:7" s="24" customFormat="1" ht="19.95" customHeight="1" x14ac:dyDescent="0.25">
      <c r="A518" s="17"/>
      <c r="B518" s="38" t="s">
        <v>96</v>
      </c>
      <c r="C518" s="40">
        <f>1*A512</f>
        <v>2</v>
      </c>
      <c r="D518" s="41"/>
      <c r="E518" s="42"/>
      <c r="F518" s="43"/>
      <c r="G518" s="23"/>
    </row>
    <row r="519" spans="1:7" s="24" customFormat="1" ht="19.95" customHeight="1" x14ac:dyDescent="0.25">
      <c r="A519" s="16"/>
      <c r="B519" s="28"/>
      <c r="C519" s="16"/>
      <c r="D519" s="29"/>
      <c r="E519" s="30"/>
      <c r="F519" s="31"/>
      <c r="G519" s="32"/>
    </row>
    <row r="520" spans="1:7" s="24" customFormat="1" ht="19.95" customHeight="1" x14ac:dyDescent="0.25">
      <c r="A520" s="13">
        <v>2</v>
      </c>
      <c r="B520" s="14" t="s">
        <v>103</v>
      </c>
      <c r="C520" s="7"/>
      <c r="D520" s="8"/>
      <c r="E520" s="9"/>
      <c r="F520" s="10"/>
      <c r="G520" s="11"/>
    </row>
    <row r="521" spans="1:7" s="24" customFormat="1" ht="19.95" customHeight="1" x14ac:dyDescent="0.25">
      <c r="A521" s="16"/>
      <c r="B521" s="14" t="s">
        <v>374</v>
      </c>
      <c r="C521" s="7"/>
      <c r="D521" s="8"/>
      <c r="E521" s="9"/>
      <c r="F521" s="10"/>
      <c r="G521" s="11"/>
    </row>
    <row r="522" spans="1:7" s="33" customFormat="1" ht="19.95" customHeight="1" x14ac:dyDescent="0.25">
      <c r="A522" s="17"/>
      <c r="B522" s="79" t="s">
        <v>105</v>
      </c>
      <c r="C522" s="19"/>
      <c r="D522" s="20"/>
      <c r="E522" s="21">
        <f>2*A520</f>
        <v>4</v>
      </c>
      <c r="F522" s="22"/>
      <c r="G522" s="23"/>
    </row>
    <row r="523" spans="1:7" ht="19.95" customHeight="1" x14ac:dyDescent="0.35">
      <c r="B523" s="38" t="s">
        <v>72</v>
      </c>
      <c r="C523" s="19"/>
      <c r="D523" s="20"/>
      <c r="E523" s="21">
        <f>2*A520</f>
        <v>4</v>
      </c>
      <c r="F523" s="22"/>
      <c r="G523" s="23"/>
    </row>
    <row r="524" spans="1:7" ht="19.95" customHeight="1" x14ac:dyDescent="0.35">
      <c r="B524" s="38" t="s">
        <v>15</v>
      </c>
      <c r="C524" s="19"/>
      <c r="D524" s="20"/>
      <c r="E524" s="21">
        <f>2*A520</f>
        <v>4</v>
      </c>
      <c r="F524" s="22"/>
      <c r="G524" s="23"/>
    </row>
    <row r="525" spans="1:7" s="24" customFormat="1" ht="19.95" customHeight="1" x14ac:dyDescent="0.25">
      <c r="A525" s="17"/>
      <c r="B525" s="79" t="s">
        <v>349</v>
      </c>
      <c r="C525" s="19"/>
      <c r="D525" s="20"/>
      <c r="E525" s="21">
        <f>2*A520</f>
        <v>4</v>
      </c>
      <c r="F525" s="22"/>
      <c r="G525" s="23"/>
    </row>
    <row r="526" spans="1:7" s="24" customFormat="1" ht="19.95" customHeight="1" x14ac:dyDescent="0.25">
      <c r="A526" s="17"/>
      <c r="B526" s="38" t="s">
        <v>17</v>
      </c>
      <c r="C526" s="19"/>
      <c r="D526" s="20"/>
      <c r="E526" s="21">
        <f>1*A520</f>
        <v>2</v>
      </c>
      <c r="F526" s="22"/>
      <c r="G526" s="23"/>
    </row>
    <row r="527" spans="1:7" s="24" customFormat="1" ht="19.95" customHeight="1" x14ac:dyDescent="0.25">
      <c r="A527" s="17"/>
      <c r="B527" s="38" t="s">
        <v>82</v>
      </c>
      <c r="C527" s="19"/>
      <c r="D527" s="20"/>
      <c r="E527" s="21">
        <f>2*A520</f>
        <v>4</v>
      </c>
      <c r="F527" s="22"/>
      <c r="G527" s="23"/>
    </row>
    <row r="528" spans="1:7" s="24" customFormat="1" ht="19.95" customHeight="1" x14ac:dyDescent="0.25">
      <c r="A528" s="17"/>
      <c r="B528" s="38" t="s">
        <v>106</v>
      </c>
      <c r="C528" s="19"/>
      <c r="D528" s="20"/>
      <c r="E528" s="21">
        <f>1*A520</f>
        <v>2</v>
      </c>
      <c r="F528" s="22"/>
      <c r="G528" s="23"/>
    </row>
    <row r="529" spans="1:7" s="24" customFormat="1" ht="19.95" customHeight="1" x14ac:dyDescent="0.25">
      <c r="A529" s="17"/>
      <c r="B529" s="79" t="s">
        <v>107</v>
      </c>
      <c r="C529" s="19"/>
      <c r="D529" s="20">
        <f>1*A520</f>
        <v>2</v>
      </c>
      <c r="E529" s="21"/>
      <c r="F529" s="22"/>
      <c r="G529" s="23"/>
    </row>
    <row r="530" spans="1:7" s="24" customFormat="1" ht="19.95" customHeight="1" x14ac:dyDescent="0.25">
      <c r="A530" s="17"/>
      <c r="B530" s="79" t="s">
        <v>108</v>
      </c>
      <c r="C530" s="19">
        <f>1*A520</f>
        <v>2</v>
      </c>
      <c r="D530" s="20"/>
      <c r="E530" s="21"/>
      <c r="F530" s="22"/>
      <c r="G530" s="23"/>
    </row>
    <row r="531" spans="1:7" s="24" customFormat="1" ht="19.95" customHeight="1" x14ac:dyDescent="0.25">
      <c r="A531" s="17"/>
      <c r="B531" s="79" t="s">
        <v>109</v>
      </c>
      <c r="C531" s="19">
        <f>1*A520</f>
        <v>2</v>
      </c>
      <c r="D531" s="20"/>
      <c r="E531" s="21"/>
      <c r="F531" s="22"/>
      <c r="G531" s="23"/>
    </row>
    <row r="532" spans="1:7" s="24" customFormat="1" ht="19.95" customHeight="1" x14ac:dyDescent="0.25">
      <c r="A532" s="17"/>
      <c r="B532" s="38" t="s">
        <v>350</v>
      </c>
      <c r="C532" s="19">
        <f>1*A520</f>
        <v>2</v>
      </c>
      <c r="D532" s="20"/>
      <c r="E532" s="21"/>
      <c r="F532" s="22"/>
      <c r="G532" s="23"/>
    </row>
    <row r="533" spans="1:7" s="24" customFormat="1" ht="19.95" customHeight="1" x14ac:dyDescent="0.25">
      <c r="A533" s="17"/>
      <c r="B533" s="79" t="s">
        <v>352</v>
      </c>
      <c r="C533" s="19">
        <f>1*A520</f>
        <v>2</v>
      </c>
      <c r="D533" s="20"/>
      <c r="E533" s="21"/>
      <c r="F533" s="22"/>
      <c r="G533" s="23"/>
    </row>
    <row r="534" spans="1:7" s="24" customFormat="1" ht="19.95" customHeight="1" x14ac:dyDescent="0.25">
      <c r="A534" s="17"/>
      <c r="B534" s="38" t="s">
        <v>353</v>
      </c>
      <c r="C534" s="19">
        <f>1*A520</f>
        <v>2</v>
      </c>
      <c r="D534" s="20"/>
      <c r="E534" s="21"/>
      <c r="F534" s="22"/>
      <c r="G534" s="23"/>
    </row>
    <row r="535" spans="1:7" s="24" customFormat="1" ht="19.95" customHeight="1" x14ac:dyDescent="0.25">
      <c r="A535" s="17"/>
      <c r="B535" s="38" t="s">
        <v>125</v>
      </c>
      <c r="C535" s="19">
        <f>1*A520</f>
        <v>2</v>
      </c>
      <c r="D535" s="20"/>
      <c r="E535" s="21"/>
      <c r="F535" s="22"/>
      <c r="G535" s="23"/>
    </row>
    <row r="536" spans="1:7" s="24" customFormat="1" ht="19.95" customHeight="1" x14ac:dyDescent="0.25">
      <c r="A536" s="17"/>
      <c r="B536" s="79" t="s">
        <v>110</v>
      </c>
      <c r="C536" s="19"/>
      <c r="D536" s="20"/>
      <c r="E536" s="21">
        <f>1*A520</f>
        <v>2</v>
      </c>
      <c r="F536" s="22">
        <f>1*A520</f>
        <v>2</v>
      </c>
      <c r="G536" s="23"/>
    </row>
    <row r="537" spans="1:7" s="24" customFormat="1" ht="19.95" customHeight="1" x14ac:dyDescent="0.25">
      <c r="A537" s="17"/>
      <c r="B537" s="79" t="s">
        <v>24</v>
      </c>
      <c r="C537" s="19"/>
      <c r="D537" s="20"/>
      <c r="E537" s="21">
        <f>1*A520</f>
        <v>2</v>
      </c>
      <c r="F537" s="22"/>
      <c r="G537" s="23"/>
    </row>
    <row r="538" spans="1:7" s="24" customFormat="1" ht="19.95" customHeight="1" x14ac:dyDescent="0.25">
      <c r="A538" s="17"/>
      <c r="B538" s="38" t="s">
        <v>18</v>
      </c>
      <c r="C538" s="19"/>
      <c r="D538" s="20"/>
      <c r="E538" s="21">
        <v>2</v>
      </c>
      <c r="F538" s="22"/>
      <c r="G538" s="23"/>
    </row>
    <row r="539" spans="1:7" s="24" customFormat="1" ht="19.95" customHeight="1" x14ac:dyDescent="0.25">
      <c r="A539" s="17"/>
      <c r="B539" s="38" t="s">
        <v>111</v>
      </c>
      <c r="C539" s="19"/>
      <c r="D539" s="20"/>
      <c r="E539" s="21">
        <v>2</v>
      </c>
      <c r="F539" s="22"/>
      <c r="G539" s="23"/>
    </row>
    <row r="540" spans="1:7" s="24" customFormat="1" ht="19.95" customHeight="1" x14ac:dyDescent="0.25">
      <c r="A540" s="17"/>
      <c r="B540" s="38" t="s">
        <v>112</v>
      </c>
      <c r="C540" s="19"/>
      <c r="D540" s="20">
        <f>1*A520</f>
        <v>2</v>
      </c>
      <c r="E540" s="21"/>
      <c r="F540" s="64">
        <f>1*A520</f>
        <v>2</v>
      </c>
      <c r="G540" s="23"/>
    </row>
    <row r="541" spans="1:7" s="24" customFormat="1" ht="19.95" customHeight="1" x14ac:dyDescent="0.25">
      <c r="A541" s="17"/>
      <c r="B541" s="38" t="s">
        <v>113</v>
      </c>
      <c r="C541" s="19">
        <f>1*A520</f>
        <v>2</v>
      </c>
      <c r="D541" s="20"/>
      <c r="E541" s="21"/>
      <c r="F541" s="64"/>
      <c r="G541" s="23"/>
    </row>
    <row r="542" spans="1:7" s="24" customFormat="1" ht="19.95" customHeight="1" x14ac:dyDescent="0.25">
      <c r="A542" s="17"/>
      <c r="B542" s="38" t="s">
        <v>127</v>
      </c>
      <c r="C542" s="19">
        <f>1*A520</f>
        <v>2</v>
      </c>
      <c r="D542" s="20"/>
      <c r="E542" s="21"/>
      <c r="F542" s="64"/>
      <c r="G542" s="23"/>
    </row>
    <row r="543" spans="1:7" s="24" customFormat="1" ht="19.95" customHeight="1" x14ac:dyDescent="0.25">
      <c r="A543" s="17"/>
      <c r="B543" s="38" t="s">
        <v>115</v>
      </c>
      <c r="C543" s="19">
        <f>1*A520</f>
        <v>2</v>
      </c>
      <c r="D543" s="20"/>
      <c r="E543" s="21"/>
      <c r="F543" s="64"/>
      <c r="G543" s="23"/>
    </row>
    <row r="544" spans="1:7" s="24" customFormat="1" ht="19.95" customHeight="1" x14ac:dyDescent="0.25">
      <c r="A544" s="17"/>
      <c r="B544" s="38" t="s">
        <v>375</v>
      </c>
      <c r="C544" s="19"/>
      <c r="D544" s="20">
        <f>1*A520</f>
        <v>2</v>
      </c>
      <c r="E544" s="21"/>
      <c r="F544" s="64">
        <f>1*A520</f>
        <v>2</v>
      </c>
      <c r="G544" s="23"/>
    </row>
    <row r="545" spans="1:7" s="24" customFormat="1" ht="19.95" customHeight="1" x14ac:dyDescent="0.25">
      <c r="A545" s="17"/>
      <c r="B545" s="38" t="s">
        <v>117</v>
      </c>
      <c r="C545" s="19">
        <f>1*A520</f>
        <v>2</v>
      </c>
      <c r="D545" s="20"/>
      <c r="E545" s="21"/>
      <c r="F545" s="22"/>
      <c r="G545" s="23"/>
    </row>
    <row r="546" spans="1:7" s="24" customFormat="1" ht="19.95" customHeight="1" x14ac:dyDescent="0.25">
      <c r="A546" s="17"/>
      <c r="B546" s="38" t="s">
        <v>119</v>
      </c>
      <c r="C546" s="19">
        <f>1*A520</f>
        <v>2</v>
      </c>
      <c r="D546" s="20"/>
      <c r="E546" s="21"/>
      <c r="F546" s="22"/>
      <c r="G546" s="23"/>
    </row>
    <row r="547" spans="1:7" s="24" customFormat="1" ht="19.95" customHeight="1" x14ac:dyDescent="0.25">
      <c r="A547" s="17"/>
      <c r="B547" s="38" t="s">
        <v>129</v>
      </c>
      <c r="C547" s="19">
        <f>1*A520</f>
        <v>2</v>
      </c>
      <c r="D547" s="20"/>
      <c r="E547" s="21"/>
      <c r="F547" s="22"/>
      <c r="G547" s="23"/>
    </row>
    <row r="548" spans="1:7" s="24" customFormat="1" ht="19.95" customHeight="1" x14ac:dyDescent="0.25">
      <c r="A548" s="16"/>
      <c r="B548" s="28"/>
      <c r="C548" s="16"/>
      <c r="D548" s="29"/>
      <c r="E548" s="30"/>
      <c r="F548" s="31"/>
      <c r="G548" s="32"/>
    </row>
    <row r="549" spans="1:7" s="24" customFormat="1" ht="19.95" customHeight="1" x14ac:dyDescent="0.25">
      <c r="A549" s="13">
        <v>1</v>
      </c>
      <c r="B549" s="14" t="s">
        <v>138</v>
      </c>
      <c r="C549" s="7"/>
      <c r="D549" s="8"/>
      <c r="E549" s="9"/>
      <c r="F549" s="10"/>
      <c r="G549" s="11"/>
    </row>
    <row r="550" spans="1:7" s="24" customFormat="1" ht="19.95" customHeight="1" x14ac:dyDescent="0.25">
      <c r="A550" s="16"/>
      <c r="B550" s="14" t="s">
        <v>139</v>
      </c>
      <c r="C550" s="7"/>
      <c r="D550" s="8"/>
      <c r="E550" s="9"/>
      <c r="F550" s="10"/>
      <c r="G550" s="11"/>
    </row>
    <row r="551" spans="1:7" s="33" customFormat="1" ht="19.95" customHeight="1" x14ac:dyDescent="0.25">
      <c r="A551" s="16"/>
      <c r="B551" s="51" t="s">
        <v>350</v>
      </c>
      <c r="C551" s="40">
        <v>1</v>
      </c>
      <c r="D551" s="41"/>
      <c r="E551" s="42"/>
      <c r="F551" s="43"/>
      <c r="G551" s="23"/>
    </row>
    <row r="552" spans="1:7" ht="19.95" customHeight="1" x14ac:dyDescent="0.35">
      <c r="B552" s="51" t="s">
        <v>351</v>
      </c>
      <c r="C552" s="40">
        <v>1</v>
      </c>
      <c r="D552" s="41"/>
      <c r="E552" s="42"/>
      <c r="F552" s="43"/>
      <c r="G552" s="23"/>
    </row>
    <row r="553" spans="1:7" ht="19.95" customHeight="1" x14ac:dyDescent="0.35">
      <c r="B553" s="51" t="s">
        <v>353</v>
      </c>
      <c r="C553" s="40">
        <v>1</v>
      </c>
      <c r="D553" s="41"/>
      <c r="E553" s="42"/>
      <c r="F553" s="43"/>
      <c r="G553" s="23"/>
    </row>
    <row r="554" spans="1:7" ht="19.95" customHeight="1" x14ac:dyDescent="0.35">
      <c r="B554" s="51" t="s">
        <v>354</v>
      </c>
      <c r="C554" s="40">
        <v>1</v>
      </c>
      <c r="D554" s="41"/>
      <c r="E554" s="42"/>
      <c r="F554" s="43"/>
      <c r="G554" s="23"/>
    </row>
    <row r="555" spans="1:7" s="24" customFormat="1" ht="19.95" customHeight="1" x14ac:dyDescent="0.25">
      <c r="A555" s="17"/>
      <c r="B555" s="51" t="s">
        <v>140</v>
      </c>
      <c r="C555" s="40">
        <v>1</v>
      </c>
      <c r="D555" s="41"/>
      <c r="E555" s="42"/>
      <c r="F555" s="43"/>
      <c r="G555" s="23"/>
    </row>
    <row r="556" spans="1:7" s="24" customFormat="1" ht="19.95" customHeight="1" x14ac:dyDescent="0.25">
      <c r="A556" s="17"/>
      <c r="B556" s="51" t="s">
        <v>21</v>
      </c>
      <c r="C556" s="40">
        <v>1</v>
      </c>
      <c r="D556" s="41"/>
      <c r="E556" s="42"/>
      <c r="F556" s="43"/>
      <c r="G556" s="23"/>
    </row>
    <row r="557" spans="1:7" s="24" customFormat="1" ht="19.95" customHeight="1" x14ac:dyDescent="0.25">
      <c r="A557" s="17"/>
      <c r="B557" s="51" t="s">
        <v>141</v>
      </c>
      <c r="C557" s="40">
        <v>1</v>
      </c>
      <c r="D557" s="41"/>
      <c r="E557" s="42"/>
      <c r="F557" s="43"/>
      <c r="G557" s="23"/>
    </row>
    <row r="558" spans="1:7" s="24" customFormat="1" ht="19.95" customHeight="1" x14ac:dyDescent="0.25">
      <c r="A558" s="17"/>
      <c r="B558" s="51" t="s">
        <v>19</v>
      </c>
      <c r="C558" s="40"/>
      <c r="D558" s="41">
        <v>1</v>
      </c>
      <c r="E558" s="42"/>
      <c r="F558" s="43"/>
      <c r="G558" s="23"/>
    </row>
    <row r="559" spans="1:7" s="24" customFormat="1" ht="19.95" customHeight="1" x14ac:dyDescent="0.25">
      <c r="A559" s="17"/>
      <c r="B559" s="51" t="s">
        <v>15</v>
      </c>
      <c r="C559" s="40"/>
      <c r="D559" s="41"/>
      <c r="E559" s="42">
        <v>2</v>
      </c>
      <c r="F559" s="43"/>
      <c r="G559" s="23"/>
    </row>
    <row r="560" spans="1:7" s="24" customFormat="1" ht="19.95" customHeight="1" x14ac:dyDescent="0.25">
      <c r="A560" s="17"/>
      <c r="B560" s="51" t="s">
        <v>376</v>
      </c>
      <c r="C560" s="40"/>
      <c r="D560" s="41"/>
      <c r="E560" s="42">
        <v>2</v>
      </c>
      <c r="F560" s="43"/>
      <c r="G560" s="23"/>
    </row>
    <row r="561" spans="1:7" s="24" customFormat="1" ht="19.95" customHeight="1" x14ac:dyDescent="0.25">
      <c r="A561" s="17"/>
      <c r="B561" s="78" t="s">
        <v>377</v>
      </c>
      <c r="D561" s="41">
        <v>1</v>
      </c>
      <c r="E561" s="42"/>
      <c r="F561" s="43"/>
      <c r="G561" s="23"/>
    </row>
    <row r="562" spans="1:7" s="24" customFormat="1" ht="19.95" customHeight="1" x14ac:dyDescent="0.25">
      <c r="A562" s="17"/>
      <c r="B562" s="78" t="s">
        <v>378</v>
      </c>
      <c r="C562" s="40">
        <v>1</v>
      </c>
      <c r="D562" s="41"/>
      <c r="E562" s="42"/>
      <c r="F562" s="43"/>
      <c r="G562" s="23"/>
    </row>
    <row r="563" spans="1:7" s="24" customFormat="1" ht="19.95" customHeight="1" x14ac:dyDescent="0.25">
      <c r="A563" s="17"/>
      <c r="B563" s="78" t="s">
        <v>379</v>
      </c>
      <c r="C563" s="40"/>
      <c r="D563" s="41"/>
      <c r="E563" s="42">
        <v>1</v>
      </c>
      <c r="F563" s="43"/>
      <c r="G563" s="23"/>
    </row>
    <row r="564" spans="1:7" s="24" customFormat="1" ht="19.95" customHeight="1" x14ac:dyDescent="0.25">
      <c r="A564" s="17"/>
      <c r="B564" s="51" t="s">
        <v>72</v>
      </c>
      <c r="C564" s="40"/>
      <c r="D564" s="41"/>
      <c r="E564" s="42">
        <v>2</v>
      </c>
      <c r="F564" s="43"/>
      <c r="G564" s="23"/>
    </row>
    <row r="565" spans="1:7" s="24" customFormat="1" ht="19.95" customHeight="1" x14ac:dyDescent="0.25">
      <c r="A565" s="17"/>
      <c r="B565" s="51" t="s">
        <v>17</v>
      </c>
      <c r="C565" s="40"/>
      <c r="D565" s="41"/>
      <c r="E565" s="42">
        <v>1</v>
      </c>
      <c r="F565" s="43"/>
      <c r="G565" s="23"/>
    </row>
    <row r="566" spans="1:7" s="24" customFormat="1" ht="19.95" customHeight="1" x14ac:dyDescent="0.25">
      <c r="A566" s="16"/>
      <c r="B566" s="51" t="s">
        <v>142</v>
      </c>
      <c r="C566" s="16"/>
      <c r="D566" s="29"/>
      <c r="E566" s="30"/>
      <c r="F566" s="31"/>
      <c r="G566" s="23">
        <v>1</v>
      </c>
    </row>
    <row r="567" spans="1:7" s="24" customFormat="1" ht="19.95" customHeight="1" x14ac:dyDescent="0.25">
      <c r="A567" s="16"/>
      <c r="B567" s="51"/>
      <c r="C567" s="16"/>
      <c r="D567" s="29"/>
      <c r="E567" s="30"/>
      <c r="F567" s="31"/>
      <c r="G567" s="23"/>
    </row>
    <row r="568" spans="1:7" s="24" customFormat="1" ht="19.95" customHeight="1" x14ac:dyDescent="0.25">
      <c r="A568" s="13">
        <v>1</v>
      </c>
      <c r="B568" s="14" t="s">
        <v>340</v>
      </c>
      <c r="C568" s="7"/>
      <c r="D568" s="8"/>
      <c r="E568" s="9"/>
      <c r="F568" s="10"/>
      <c r="G568" s="11"/>
    </row>
    <row r="569" spans="1:7" s="33" customFormat="1" ht="19.95" customHeight="1" x14ac:dyDescent="0.25">
      <c r="A569" s="16"/>
      <c r="B569" s="14"/>
      <c r="C569" s="7"/>
      <c r="D569" s="8"/>
      <c r="E569" s="9"/>
      <c r="F569" s="10"/>
      <c r="G569" s="11"/>
    </row>
    <row r="570" spans="1:7" s="33" customFormat="1" ht="19.95" customHeight="1" x14ac:dyDescent="0.25">
      <c r="A570" s="17"/>
      <c r="B570" s="38" t="s">
        <v>43</v>
      </c>
      <c r="C570" s="40">
        <v>1</v>
      </c>
      <c r="D570" s="41"/>
      <c r="E570" s="42"/>
      <c r="F570" s="43"/>
      <c r="G570" s="23"/>
    </row>
    <row r="571" spans="1:7" ht="19.95" customHeight="1" x14ac:dyDescent="0.35">
      <c r="A571" s="16"/>
      <c r="B571" s="28"/>
      <c r="C571" s="16"/>
      <c r="D571" s="29"/>
      <c r="E571" s="30"/>
      <c r="F571" s="31"/>
      <c r="G571" s="32"/>
    </row>
    <row r="572" spans="1:7" ht="19.95" customHeight="1" x14ac:dyDescent="0.35">
      <c r="A572" s="13">
        <v>1</v>
      </c>
      <c r="B572" s="14" t="s">
        <v>25</v>
      </c>
      <c r="C572" s="7"/>
      <c r="D572" s="8"/>
      <c r="E572" s="9"/>
      <c r="F572" s="10"/>
      <c r="G572" s="11"/>
    </row>
    <row r="573" spans="1:7" s="24" customFormat="1" ht="19.95" customHeight="1" x14ac:dyDescent="0.25">
      <c r="A573" s="16"/>
      <c r="B573" s="14" t="s">
        <v>296</v>
      </c>
      <c r="C573" s="7"/>
      <c r="D573" s="8"/>
      <c r="E573" s="9"/>
      <c r="F573" s="10"/>
      <c r="G573" s="11"/>
    </row>
    <row r="574" spans="1:7" s="33" customFormat="1" ht="19.95" customHeight="1" x14ac:dyDescent="0.25">
      <c r="A574" s="17"/>
      <c r="B574" s="38" t="s">
        <v>26</v>
      </c>
      <c r="C574" s="40">
        <v>1</v>
      </c>
      <c r="D574" s="41"/>
      <c r="E574" s="42"/>
      <c r="F574" s="43"/>
      <c r="G574" s="23"/>
    </row>
    <row r="575" spans="1:7" ht="19.95" customHeight="1" x14ac:dyDescent="0.35">
      <c r="B575" s="38" t="s">
        <v>27</v>
      </c>
      <c r="C575" s="40">
        <v>1</v>
      </c>
      <c r="D575" s="41"/>
      <c r="E575" s="42"/>
      <c r="F575" s="43"/>
      <c r="G575" s="23"/>
    </row>
    <row r="576" spans="1:7" ht="19.95" customHeight="1" x14ac:dyDescent="0.35">
      <c r="A576" s="16"/>
      <c r="B576" s="28"/>
      <c r="C576" s="16"/>
      <c r="D576" s="29"/>
      <c r="E576" s="30"/>
      <c r="F576" s="31"/>
      <c r="G576" s="32"/>
    </row>
    <row r="577" spans="1:7" s="24" customFormat="1" ht="19.95" customHeight="1" x14ac:dyDescent="0.25">
      <c r="A577" s="13">
        <v>1</v>
      </c>
      <c r="B577" s="14" t="s">
        <v>97</v>
      </c>
      <c r="C577" s="7"/>
      <c r="D577" s="8"/>
      <c r="E577" s="9"/>
      <c r="F577" s="10"/>
      <c r="G577" s="11"/>
    </row>
    <row r="578" spans="1:7" s="24" customFormat="1" ht="19.95" customHeight="1" x14ac:dyDescent="0.25">
      <c r="A578" s="16"/>
      <c r="B578" s="14" t="s">
        <v>143</v>
      </c>
      <c r="C578" s="7"/>
      <c r="D578" s="8"/>
      <c r="E578" s="9"/>
      <c r="F578" s="10"/>
      <c r="G578" s="11"/>
    </row>
    <row r="579" spans="1:7" s="33" customFormat="1" ht="19.95" customHeight="1" x14ac:dyDescent="0.25">
      <c r="A579" s="17"/>
      <c r="B579" s="38" t="s">
        <v>94</v>
      </c>
      <c r="C579" s="40"/>
      <c r="D579" s="41"/>
      <c r="E579" s="42">
        <v>1</v>
      </c>
      <c r="F579" s="43"/>
      <c r="G579" s="23"/>
    </row>
    <row r="580" spans="1:7" ht="19.95" customHeight="1" x14ac:dyDescent="0.35">
      <c r="B580" s="38" t="s">
        <v>99</v>
      </c>
      <c r="C580" s="40"/>
      <c r="D580" s="41"/>
      <c r="E580" s="42">
        <v>1</v>
      </c>
      <c r="F580" s="43"/>
      <c r="G580" s="23"/>
    </row>
    <row r="581" spans="1:7" ht="19.95" customHeight="1" x14ac:dyDescent="0.35">
      <c r="B581" s="38" t="s">
        <v>100</v>
      </c>
      <c r="C581" s="40">
        <v>1</v>
      </c>
      <c r="D581" s="41"/>
      <c r="E581" s="42"/>
      <c r="F581" s="43"/>
      <c r="G581" s="23"/>
    </row>
    <row r="582" spans="1:7" s="24" customFormat="1" ht="19.95" customHeight="1" x14ac:dyDescent="0.25">
      <c r="A582" s="17"/>
      <c r="B582" s="38" t="s">
        <v>93</v>
      </c>
      <c r="C582" s="40">
        <v>1</v>
      </c>
      <c r="D582" s="41"/>
      <c r="E582" s="42"/>
      <c r="F582" s="43"/>
      <c r="G582" s="23"/>
    </row>
    <row r="583" spans="1:7" s="24" customFormat="1" ht="19.95" customHeight="1" x14ac:dyDescent="0.25">
      <c r="A583" s="17"/>
      <c r="B583" s="38" t="s">
        <v>101</v>
      </c>
      <c r="C583" s="40">
        <v>1</v>
      </c>
      <c r="D583" s="41"/>
      <c r="E583" s="42"/>
      <c r="F583" s="43"/>
      <c r="G583" s="23"/>
    </row>
    <row r="584" spans="1:7" s="24" customFormat="1" ht="19.95" customHeight="1" x14ac:dyDescent="0.25">
      <c r="A584" s="16"/>
      <c r="B584" s="28"/>
      <c r="C584" s="16"/>
      <c r="D584" s="29"/>
      <c r="E584" s="30"/>
      <c r="F584" s="31"/>
      <c r="G584" s="32"/>
    </row>
    <row r="585" spans="1:7" s="24" customFormat="1" ht="19.95" customHeight="1" x14ac:dyDescent="0.25">
      <c r="A585" s="44"/>
      <c r="B585" s="45" t="s">
        <v>10</v>
      </c>
      <c r="C585" s="46">
        <f>SUM(C499:C583)</f>
        <v>70</v>
      </c>
      <c r="D585" s="46">
        <f t="shared" ref="D585:G585" si="0">SUM(D499:D583)</f>
        <v>12</v>
      </c>
      <c r="E585" s="46">
        <f t="shared" si="0"/>
        <v>42</v>
      </c>
      <c r="F585" s="46">
        <f t="shared" si="0"/>
        <v>6</v>
      </c>
      <c r="G585" s="46">
        <f t="shared" si="0"/>
        <v>6</v>
      </c>
    </row>
    <row r="586" spans="1:7" s="24" customFormat="1" ht="19.95" customHeight="1" x14ac:dyDescent="0.25">
      <c r="A586" s="16"/>
      <c r="B586" s="28"/>
      <c r="C586" s="49"/>
      <c r="D586" s="49"/>
      <c r="E586" s="50"/>
      <c r="F586" s="49"/>
      <c r="G586" s="49"/>
    </row>
    <row r="587" spans="1:7" s="33" customFormat="1" ht="36" customHeight="1" x14ac:dyDescent="0.25">
      <c r="A587" s="75" t="s">
        <v>56</v>
      </c>
      <c r="B587" s="2" t="s">
        <v>1</v>
      </c>
      <c r="C587" s="90" t="s">
        <v>2</v>
      </c>
      <c r="D587" s="90"/>
      <c r="E587" s="90"/>
      <c r="F587" s="90"/>
      <c r="G587" s="90"/>
    </row>
    <row r="588" spans="1:7" s="24" customFormat="1" ht="100.8" customHeight="1" x14ac:dyDescent="0.25">
      <c r="A588" s="1"/>
      <c r="B588" s="6" t="s">
        <v>144</v>
      </c>
      <c r="C588" s="7" t="s">
        <v>4</v>
      </c>
      <c r="D588" s="8" t="s">
        <v>5</v>
      </c>
      <c r="E588" s="9" t="s">
        <v>6</v>
      </c>
      <c r="F588" s="10" t="s">
        <v>7</v>
      </c>
      <c r="G588" s="11" t="s">
        <v>8</v>
      </c>
    </row>
    <row r="589" spans="1:7" customFormat="1" ht="19.95" customHeight="1" x14ac:dyDescent="0.25">
      <c r="A589" s="13">
        <v>1</v>
      </c>
      <c r="B589" s="14" t="s">
        <v>25</v>
      </c>
      <c r="C589" s="7"/>
      <c r="D589" s="8"/>
      <c r="E589" s="9"/>
      <c r="F589" s="10"/>
      <c r="G589" s="11"/>
    </row>
    <row r="590" spans="1:7" s="24" customFormat="1" ht="19.95" customHeight="1" x14ac:dyDescent="0.25">
      <c r="A590" s="16"/>
      <c r="B590" s="14" t="s">
        <v>145</v>
      </c>
      <c r="C590" s="7"/>
      <c r="D590" s="8"/>
      <c r="E590" s="9"/>
      <c r="F590" s="10"/>
      <c r="G590" s="11"/>
    </row>
    <row r="591" spans="1:7" s="12" customFormat="1" ht="19.95" customHeight="1" x14ac:dyDescent="0.3">
      <c r="A591" s="17"/>
      <c r="B591" s="38" t="s">
        <v>26</v>
      </c>
      <c r="C591" s="40">
        <v>1</v>
      </c>
      <c r="D591" s="41"/>
      <c r="E591" s="42"/>
      <c r="F591" s="43"/>
      <c r="G591" s="23"/>
    </row>
    <row r="592" spans="1:7" ht="19.95" customHeight="1" x14ac:dyDescent="0.35">
      <c r="B592" s="38" t="s">
        <v>27</v>
      </c>
      <c r="C592" s="40">
        <v>1</v>
      </c>
      <c r="D592" s="41"/>
      <c r="E592" s="42"/>
      <c r="F592" s="43"/>
      <c r="G592" s="23"/>
    </row>
    <row r="593" spans="1:7" ht="19.95" customHeight="1" x14ac:dyDescent="0.35">
      <c r="A593" s="16"/>
      <c r="B593" s="28"/>
      <c r="C593" s="16"/>
      <c r="D593" s="29"/>
      <c r="E593" s="30"/>
      <c r="F593" s="31"/>
      <c r="G593" s="32"/>
    </row>
    <row r="594" spans="1:7" s="24" customFormat="1" ht="19.95" customHeight="1" x14ac:dyDescent="0.25">
      <c r="A594" s="13">
        <v>1</v>
      </c>
      <c r="B594" s="14" t="s">
        <v>29</v>
      </c>
      <c r="C594" s="7"/>
      <c r="D594" s="8"/>
      <c r="E594" s="9"/>
      <c r="F594" s="10"/>
      <c r="G594" s="11"/>
    </row>
    <row r="595" spans="1:7" s="24" customFormat="1" ht="19.95" customHeight="1" x14ac:dyDescent="0.25">
      <c r="A595" s="16"/>
      <c r="B595" s="14" t="s">
        <v>146</v>
      </c>
      <c r="C595" s="7"/>
      <c r="D595" s="8"/>
      <c r="E595" s="9"/>
      <c r="F595" s="10"/>
      <c r="G595" s="11"/>
    </row>
    <row r="596" spans="1:7" s="33" customFormat="1" ht="19.95" customHeight="1" x14ac:dyDescent="0.25">
      <c r="A596" s="17"/>
      <c r="B596" s="38" t="s">
        <v>26</v>
      </c>
      <c r="C596" s="40">
        <v>1</v>
      </c>
      <c r="D596" s="41"/>
      <c r="E596" s="42"/>
      <c r="F596" s="43"/>
      <c r="G596" s="23"/>
    </row>
    <row r="597" spans="1:7" ht="19.95" customHeight="1" x14ac:dyDescent="0.35">
      <c r="B597" s="38" t="s">
        <v>27</v>
      </c>
      <c r="C597" s="40">
        <v>1</v>
      </c>
      <c r="D597" s="41"/>
      <c r="E597" s="42"/>
      <c r="F597" s="43"/>
      <c r="G597" s="23"/>
    </row>
    <row r="598" spans="1:7" ht="19.95" customHeight="1" x14ac:dyDescent="0.35">
      <c r="A598" s="16"/>
      <c r="B598" s="28"/>
      <c r="C598" s="16"/>
      <c r="D598" s="29"/>
      <c r="E598" s="30"/>
      <c r="F598" s="31"/>
      <c r="G598" s="32"/>
    </row>
    <row r="599" spans="1:7" s="24" customFormat="1" ht="19.95" customHeight="1" x14ac:dyDescent="0.25">
      <c r="A599" s="13">
        <v>1</v>
      </c>
      <c r="B599" s="14" t="s">
        <v>340</v>
      </c>
      <c r="C599" s="7"/>
      <c r="D599" s="8"/>
      <c r="E599" s="9"/>
      <c r="F599" s="10"/>
      <c r="G599" s="11"/>
    </row>
    <row r="600" spans="1:7" s="24" customFormat="1" ht="19.95" customHeight="1" x14ac:dyDescent="0.25">
      <c r="A600" s="16"/>
      <c r="B600" s="14"/>
      <c r="C600" s="7"/>
      <c r="D600" s="8"/>
      <c r="E600" s="9"/>
      <c r="F600" s="10"/>
      <c r="G600" s="11"/>
    </row>
    <row r="601" spans="1:7" s="33" customFormat="1" ht="19.95" customHeight="1" x14ac:dyDescent="0.25">
      <c r="A601" s="17"/>
      <c r="B601" s="38" t="s">
        <v>43</v>
      </c>
      <c r="C601" s="40">
        <v>1</v>
      </c>
      <c r="D601" s="41"/>
      <c r="E601" s="42"/>
      <c r="F601" s="43"/>
      <c r="G601" s="23"/>
    </row>
    <row r="602" spans="1:7" ht="19.95" customHeight="1" x14ac:dyDescent="0.35">
      <c r="C602" s="40"/>
      <c r="D602" s="41"/>
      <c r="E602" s="42"/>
      <c r="F602" s="43"/>
      <c r="G602" s="23"/>
    </row>
    <row r="603" spans="1:7" ht="19.95" customHeight="1" x14ac:dyDescent="0.35">
      <c r="A603" s="13">
        <v>2</v>
      </c>
      <c r="B603" s="14" t="s">
        <v>343</v>
      </c>
      <c r="C603" s="7"/>
      <c r="D603" s="8"/>
      <c r="E603" s="9"/>
      <c r="F603" s="10"/>
      <c r="G603" s="11"/>
    </row>
    <row r="604" spans="1:7" ht="19.95" customHeight="1" x14ac:dyDescent="0.35">
      <c r="A604" s="16"/>
      <c r="B604" s="14"/>
      <c r="C604" s="7"/>
      <c r="D604" s="8"/>
      <c r="E604" s="9"/>
      <c r="F604" s="10"/>
      <c r="G604" s="11"/>
    </row>
    <row r="605" spans="1:7" ht="19.95" customHeight="1" x14ac:dyDescent="0.35">
      <c r="B605" s="38" t="s">
        <v>344</v>
      </c>
      <c r="C605" s="40">
        <f>1*A603</f>
        <v>2</v>
      </c>
      <c r="D605" s="41"/>
      <c r="E605" s="42"/>
      <c r="F605" s="43"/>
      <c r="G605" s="23"/>
    </row>
    <row r="606" spans="1:7" ht="19.95" customHeight="1" x14ac:dyDescent="0.35">
      <c r="A606" s="16"/>
      <c r="B606" s="28"/>
      <c r="C606" s="16"/>
      <c r="D606" s="29"/>
      <c r="E606" s="30"/>
      <c r="F606" s="31"/>
      <c r="G606" s="32"/>
    </row>
    <row r="607" spans="1:7" ht="19.95" customHeight="1" x14ac:dyDescent="0.35">
      <c r="A607" s="13">
        <v>4</v>
      </c>
      <c r="B607" s="14" t="s">
        <v>343</v>
      </c>
      <c r="C607" s="7"/>
      <c r="D607" s="8"/>
      <c r="E607" s="9"/>
      <c r="F607" s="10"/>
      <c r="G607" s="11"/>
    </row>
    <row r="608" spans="1:7" s="24" customFormat="1" ht="19.95" customHeight="1" x14ac:dyDescent="0.25">
      <c r="A608" s="16"/>
      <c r="B608" s="14"/>
      <c r="C608" s="7"/>
      <c r="D608" s="8"/>
      <c r="E608" s="9"/>
      <c r="F608" s="10"/>
      <c r="G608" s="11"/>
    </row>
    <row r="609" spans="1:7" s="24" customFormat="1" ht="19.95" customHeight="1" x14ac:dyDescent="0.25">
      <c r="A609" s="17"/>
      <c r="B609" s="38" t="s">
        <v>344</v>
      </c>
      <c r="C609" s="40">
        <f>1*A607</f>
        <v>4</v>
      </c>
      <c r="D609" s="41"/>
      <c r="E609" s="42"/>
      <c r="F609" s="43"/>
      <c r="G609" s="23"/>
    </row>
    <row r="610" spans="1:7" ht="19.95" customHeight="1" x14ac:dyDescent="0.35">
      <c r="A610" s="16"/>
      <c r="B610" s="28"/>
      <c r="C610" s="16"/>
      <c r="D610" s="29"/>
      <c r="E610" s="30"/>
      <c r="F610" s="31"/>
      <c r="G610" s="32"/>
    </row>
    <row r="611" spans="1:7" ht="19.95" customHeight="1" x14ac:dyDescent="0.35">
      <c r="A611" s="13">
        <v>1</v>
      </c>
      <c r="B611" s="14" t="s">
        <v>147</v>
      </c>
      <c r="C611" s="7"/>
      <c r="D611" s="8"/>
      <c r="E611" s="9"/>
      <c r="F611" s="10"/>
      <c r="G611" s="11"/>
    </row>
    <row r="612" spans="1:7" s="24" customFormat="1" ht="19.95" customHeight="1" x14ac:dyDescent="0.25">
      <c r="A612" s="16"/>
      <c r="B612" s="14"/>
      <c r="C612" s="7"/>
      <c r="D612" s="8"/>
      <c r="E612" s="9"/>
      <c r="F612" s="10"/>
      <c r="G612" s="11"/>
    </row>
    <row r="613" spans="1:7" s="33" customFormat="1" ht="19.95" customHeight="1" x14ac:dyDescent="0.25">
      <c r="A613" s="17"/>
      <c r="B613" s="38" t="s">
        <v>380</v>
      </c>
      <c r="C613" s="40"/>
      <c r="D613" s="41">
        <v>3</v>
      </c>
      <c r="E613" s="42"/>
      <c r="F613" s="43"/>
      <c r="G613" s="23"/>
    </row>
    <row r="614" spans="1:7" ht="19.95" customHeight="1" x14ac:dyDescent="0.35">
      <c r="B614" s="38" t="s">
        <v>148</v>
      </c>
      <c r="C614" s="40">
        <v>3</v>
      </c>
      <c r="D614" s="41"/>
      <c r="E614" s="42"/>
      <c r="F614" s="43"/>
      <c r="G614" s="23"/>
    </row>
    <row r="615" spans="1:7" ht="19.95" customHeight="1" x14ac:dyDescent="0.35">
      <c r="B615" s="38" t="s">
        <v>135</v>
      </c>
      <c r="C615" s="40">
        <v>3</v>
      </c>
      <c r="D615" s="41"/>
      <c r="E615" s="42"/>
      <c r="F615" s="43"/>
      <c r="G615" s="23"/>
    </row>
    <row r="616" spans="1:7" s="24" customFormat="1" ht="19.95" customHeight="1" x14ac:dyDescent="0.25">
      <c r="A616" s="17"/>
      <c r="B616" s="38" t="s">
        <v>149</v>
      </c>
      <c r="C616" s="40">
        <v>3</v>
      </c>
      <c r="D616" s="41"/>
      <c r="E616" s="42"/>
      <c r="F616" s="43"/>
      <c r="G616" s="23"/>
    </row>
    <row r="617" spans="1:7" s="24" customFormat="1" ht="19.95" customHeight="1" x14ac:dyDescent="0.25">
      <c r="A617" s="17"/>
      <c r="B617" s="38" t="s">
        <v>381</v>
      </c>
      <c r="C617" s="40"/>
      <c r="D617" s="41"/>
      <c r="E617" s="42"/>
      <c r="F617" s="43"/>
      <c r="G617" s="23">
        <v>3</v>
      </c>
    </row>
    <row r="618" spans="1:7" s="24" customFormat="1" ht="19.95" customHeight="1" x14ac:dyDescent="0.25">
      <c r="A618" s="17"/>
      <c r="B618" s="38" t="s">
        <v>382</v>
      </c>
      <c r="C618" s="40"/>
      <c r="D618" s="41"/>
      <c r="E618" s="42"/>
      <c r="F618" s="43"/>
      <c r="G618" s="23">
        <v>3</v>
      </c>
    </row>
    <row r="619" spans="1:7" s="24" customFormat="1" ht="19.95" customHeight="1" x14ac:dyDescent="0.25">
      <c r="A619" s="17"/>
      <c r="B619" s="38" t="s">
        <v>383</v>
      </c>
      <c r="C619" s="40"/>
      <c r="D619" s="41"/>
      <c r="E619" s="42"/>
      <c r="F619" s="43"/>
      <c r="G619" s="23">
        <v>3</v>
      </c>
    </row>
    <row r="620" spans="1:7" s="24" customFormat="1" ht="19.95" customHeight="1" x14ac:dyDescent="0.25">
      <c r="A620" s="17"/>
      <c r="B620" s="38" t="s">
        <v>384</v>
      </c>
      <c r="C620" s="40"/>
      <c r="D620" s="41"/>
      <c r="E620" s="42"/>
      <c r="F620" s="43"/>
      <c r="G620" s="23">
        <v>3</v>
      </c>
    </row>
    <row r="621" spans="1:7" s="24" customFormat="1" ht="19.95" customHeight="1" x14ac:dyDescent="0.25">
      <c r="A621" s="17"/>
      <c r="B621" s="38" t="s">
        <v>385</v>
      </c>
      <c r="C621" s="40"/>
      <c r="D621" s="41"/>
      <c r="E621" s="42"/>
      <c r="F621" s="43"/>
      <c r="G621" s="23">
        <v>1</v>
      </c>
    </row>
    <row r="622" spans="1:7" s="24" customFormat="1" ht="19.95" customHeight="1" x14ac:dyDescent="0.25">
      <c r="A622" s="17"/>
      <c r="B622" s="38" t="s">
        <v>386</v>
      </c>
      <c r="C622" s="40"/>
      <c r="D622" s="41"/>
      <c r="E622" s="42"/>
      <c r="F622" s="43"/>
      <c r="G622" s="23">
        <v>1</v>
      </c>
    </row>
    <row r="623" spans="1:7" s="24" customFormat="1" ht="19.95" customHeight="1" x14ac:dyDescent="0.25">
      <c r="A623" s="16"/>
      <c r="B623" s="28"/>
      <c r="C623" s="16"/>
      <c r="D623" s="29"/>
      <c r="E623" s="30"/>
      <c r="F623" s="31"/>
      <c r="G623" s="32"/>
    </row>
    <row r="624" spans="1:7" s="24" customFormat="1" ht="19.95" customHeight="1" x14ac:dyDescent="0.25">
      <c r="A624" s="13">
        <v>1</v>
      </c>
      <c r="B624" s="14" t="s">
        <v>150</v>
      </c>
      <c r="C624" s="7"/>
      <c r="D624" s="8"/>
      <c r="E624" s="9"/>
      <c r="F624" s="10"/>
      <c r="G624" s="11"/>
    </row>
    <row r="625" spans="1:7" s="24" customFormat="1" ht="19.95" customHeight="1" x14ac:dyDescent="0.25">
      <c r="A625" s="16"/>
      <c r="B625" s="14"/>
      <c r="C625" s="7"/>
      <c r="D625" s="8"/>
      <c r="E625" s="9"/>
      <c r="F625" s="10"/>
      <c r="G625" s="11"/>
    </row>
    <row r="626" spans="1:7" s="33" customFormat="1" ht="19.95" customHeight="1" x14ac:dyDescent="0.25">
      <c r="A626" s="17"/>
      <c r="B626" s="38" t="s">
        <v>387</v>
      </c>
      <c r="C626" s="40"/>
      <c r="D626" s="41">
        <v>2</v>
      </c>
      <c r="E626" s="42"/>
      <c r="F626" s="43"/>
      <c r="G626" s="23"/>
    </row>
    <row r="627" spans="1:7" ht="19.95" customHeight="1" x14ac:dyDescent="0.35">
      <c r="B627" s="38" t="s">
        <v>134</v>
      </c>
      <c r="C627" s="40">
        <v>2</v>
      </c>
      <c r="D627" s="41"/>
      <c r="E627" s="42"/>
      <c r="F627" s="43"/>
      <c r="G627" s="23"/>
    </row>
    <row r="628" spans="1:7" ht="19.95" customHeight="1" x14ac:dyDescent="0.35">
      <c r="B628" s="38" t="s">
        <v>135</v>
      </c>
      <c r="C628" s="40">
        <v>2</v>
      </c>
      <c r="D628" s="41"/>
      <c r="E628" s="42"/>
      <c r="F628" s="43"/>
      <c r="G628" s="23"/>
    </row>
    <row r="629" spans="1:7" s="24" customFormat="1" ht="19.95" customHeight="1" x14ac:dyDescent="0.25">
      <c r="A629" s="16"/>
      <c r="B629" s="28"/>
      <c r="C629" s="16"/>
      <c r="D629" s="29"/>
      <c r="E629" s="30"/>
      <c r="F629" s="31"/>
      <c r="G629" s="32"/>
    </row>
    <row r="630" spans="1:7" s="24" customFormat="1" ht="19.95" customHeight="1" x14ac:dyDescent="0.25">
      <c r="A630" s="13">
        <v>1</v>
      </c>
      <c r="B630" s="14" t="s">
        <v>151</v>
      </c>
      <c r="C630" s="7"/>
      <c r="D630" s="8"/>
      <c r="E630" s="9"/>
      <c r="F630" s="10"/>
      <c r="G630" s="11"/>
    </row>
    <row r="631" spans="1:7" s="24" customFormat="1" ht="19.95" customHeight="1" x14ac:dyDescent="0.25">
      <c r="A631" s="16"/>
      <c r="B631" s="14"/>
      <c r="C631" s="7"/>
      <c r="D631" s="8"/>
      <c r="E631" s="9"/>
      <c r="F631" s="10"/>
      <c r="G631" s="11"/>
    </row>
    <row r="632" spans="1:7" s="33" customFormat="1" ht="19.95" customHeight="1" x14ac:dyDescent="0.25">
      <c r="A632" s="17"/>
      <c r="B632" s="38" t="s">
        <v>387</v>
      </c>
      <c r="C632" s="40"/>
      <c r="D632" s="41">
        <v>2</v>
      </c>
      <c r="E632" s="42"/>
      <c r="F632" s="43"/>
      <c r="G632" s="23"/>
    </row>
    <row r="633" spans="1:7" ht="19.95" customHeight="1" x14ac:dyDescent="0.35">
      <c r="B633" s="38" t="s">
        <v>134</v>
      </c>
      <c r="C633" s="40">
        <v>2</v>
      </c>
      <c r="D633" s="41"/>
      <c r="E633" s="42"/>
      <c r="F633" s="43"/>
      <c r="G633" s="23"/>
    </row>
    <row r="634" spans="1:7" ht="19.95" customHeight="1" x14ac:dyDescent="0.35">
      <c r="B634" s="38" t="s">
        <v>135</v>
      </c>
      <c r="C634" s="40">
        <v>2</v>
      </c>
      <c r="D634" s="41"/>
      <c r="E634" s="42"/>
      <c r="F634" s="43"/>
      <c r="G634" s="23"/>
    </row>
    <row r="635" spans="1:7" s="24" customFormat="1" ht="19.95" customHeight="1" x14ac:dyDescent="0.25">
      <c r="A635" s="16"/>
      <c r="B635" s="28"/>
      <c r="C635" s="16"/>
      <c r="D635" s="29"/>
      <c r="E635" s="30"/>
      <c r="F635" s="31"/>
      <c r="G635" s="32"/>
    </row>
    <row r="636" spans="1:7" s="24" customFormat="1" ht="19.95" customHeight="1" x14ac:dyDescent="0.25">
      <c r="A636" s="13">
        <v>1</v>
      </c>
      <c r="B636" s="14" t="s">
        <v>388</v>
      </c>
      <c r="C636" s="7"/>
      <c r="D636" s="8"/>
      <c r="E636" s="9"/>
      <c r="F636" s="10"/>
      <c r="G636" s="11"/>
    </row>
    <row r="637" spans="1:7" s="24" customFormat="1" ht="19.95" customHeight="1" x14ac:dyDescent="0.25">
      <c r="A637" s="16"/>
      <c r="B637" s="14"/>
      <c r="C637" s="7"/>
      <c r="D637" s="8"/>
      <c r="E637" s="9"/>
      <c r="F637" s="10"/>
      <c r="G637" s="11"/>
    </row>
    <row r="638" spans="1:7" s="33" customFormat="1" ht="19.95" customHeight="1" x14ac:dyDescent="0.25">
      <c r="A638" s="17"/>
      <c r="B638" s="38" t="s">
        <v>41</v>
      </c>
      <c r="C638" s="40">
        <v>1</v>
      </c>
      <c r="D638" s="41"/>
      <c r="E638" s="42"/>
      <c r="F638" s="43"/>
      <c r="G638" s="23"/>
    </row>
    <row r="639" spans="1:7" ht="19.95" customHeight="1" x14ac:dyDescent="0.35">
      <c r="B639" s="38" t="s">
        <v>46</v>
      </c>
      <c r="C639" s="40">
        <v>1</v>
      </c>
      <c r="D639" s="41"/>
      <c r="E639" s="42"/>
      <c r="F639" s="43"/>
      <c r="G639" s="23"/>
    </row>
    <row r="640" spans="1:7" ht="19.95" customHeight="1" x14ac:dyDescent="0.35">
      <c r="A640" s="16"/>
      <c r="B640" s="28"/>
      <c r="C640" s="16"/>
      <c r="D640" s="29"/>
      <c r="E640" s="30"/>
      <c r="F640" s="31"/>
      <c r="G640" s="32"/>
    </row>
    <row r="641" spans="1:7" s="24" customFormat="1" ht="19.95" customHeight="1" x14ac:dyDescent="0.25">
      <c r="A641" s="13">
        <v>1</v>
      </c>
      <c r="B641" s="14" t="s">
        <v>152</v>
      </c>
      <c r="C641" s="7"/>
      <c r="D641" s="8"/>
      <c r="E641" s="9"/>
      <c r="F641" s="10"/>
      <c r="G641" s="11"/>
    </row>
    <row r="642" spans="1:7" s="24" customFormat="1" ht="19.95" customHeight="1" x14ac:dyDescent="0.25">
      <c r="A642" s="16"/>
      <c r="B642" s="14"/>
      <c r="C642" s="7"/>
      <c r="D642" s="8"/>
      <c r="E642" s="9"/>
      <c r="F642" s="10"/>
      <c r="G642" s="11"/>
    </row>
    <row r="643" spans="1:7" s="33" customFormat="1" ht="19.95" customHeight="1" x14ac:dyDescent="0.25">
      <c r="A643" s="17"/>
      <c r="B643" s="38" t="s">
        <v>153</v>
      </c>
      <c r="C643" s="40">
        <v>1</v>
      </c>
      <c r="D643" s="41"/>
      <c r="E643" s="42"/>
      <c r="F643" s="43"/>
      <c r="G643" s="23"/>
    </row>
    <row r="644" spans="1:7" ht="19.95" customHeight="1" x14ac:dyDescent="0.35">
      <c r="A644" s="16"/>
      <c r="B644" s="28"/>
      <c r="C644" s="16"/>
      <c r="D644" s="29"/>
      <c r="E644" s="30"/>
      <c r="F644" s="31"/>
      <c r="G644" s="32"/>
    </row>
    <row r="645" spans="1:7" ht="19.95" customHeight="1" x14ac:dyDescent="0.35">
      <c r="A645" s="13">
        <v>1</v>
      </c>
      <c r="B645" s="14" t="s">
        <v>137</v>
      </c>
      <c r="C645" s="7"/>
      <c r="D645" s="8"/>
      <c r="E645" s="9"/>
      <c r="F645" s="10"/>
      <c r="G645" s="11"/>
    </row>
    <row r="646" spans="1:7" s="24" customFormat="1" ht="19.95" customHeight="1" x14ac:dyDescent="0.25">
      <c r="A646" s="16"/>
      <c r="B646" s="14" t="s">
        <v>155</v>
      </c>
      <c r="C646" s="7"/>
      <c r="D646" s="8"/>
      <c r="E646" s="9"/>
      <c r="F646" s="10"/>
      <c r="G646" s="11"/>
    </row>
    <row r="647" spans="1:7" s="33" customFormat="1" ht="19.95" customHeight="1" x14ac:dyDescent="0.25">
      <c r="A647" s="17"/>
      <c r="B647" s="38" t="s">
        <v>373</v>
      </c>
      <c r="C647" s="40">
        <v>1</v>
      </c>
      <c r="D647" s="41"/>
      <c r="E647" s="42"/>
      <c r="F647" s="43"/>
      <c r="G647" s="23"/>
    </row>
    <row r="648" spans="1:7" ht="19.95" customHeight="1" x14ac:dyDescent="0.35">
      <c r="B648" s="38" t="s">
        <v>93</v>
      </c>
      <c r="C648" s="40">
        <v>1</v>
      </c>
      <c r="D648" s="41"/>
      <c r="E648" s="42"/>
      <c r="F648" s="43"/>
      <c r="G648" s="23"/>
    </row>
    <row r="649" spans="1:7" ht="19.95" customHeight="1" x14ac:dyDescent="0.35">
      <c r="B649" s="38" t="s">
        <v>361</v>
      </c>
      <c r="C649" s="40">
        <v>1</v>
      </c>
      <c r="D649" s="41"/>
      <c r="E649" s="42"/>
      <c r="F649" s="43"/>
      <c r="G649" s="23"/>
    </row>
    <row r="650" spans="1:7" s="24" customFormat="1" ht="19.95" customHeight="1" x14ac:dyDescent="0.25">
      <c r="A650" s="17"/>
      <c r="B650" s="38" t="s">
        <v>95</v>
      </c>
      <c r="C650" s="40"/>
      <c r="D650" s="41"/>
      <c r="E650" s="42"/>
      <c r="F650" s="43"/>
      <c r="G650" s="23">
        <v>1</v>
      </c>
    </row>
    <row r="651" spans="1:7" s="24" customFormat="1" ht="19.95" customHeight="1" x14ac:dyDescent="0.25">
      <c r="A651" s="17"/>
      <c r="B651" s="38" t="s">
        <v>96</v>
      </c>
      <c r="C651" s="40">
        <v>1</v>
      </c>
      <c r="D651" s="41"/>
      <c r="E651" s="42"/>
      <c r="F651" s="43"/>
      <c r="G651" s="23"/>
    </row>
    <row r="652" spans="1:7" s="24" customFormat="1" ht="19.95" customHeight="1" x14ac:dyDescent="0.25">
      <c r="A652" s="16"/>
      <c r="B652" s="28"/>
      <c r="C652" s="16"/>
      <c r="D652" s="29"/>
      <c r="E652" s="30"/>
      <c r="F652" s="31"/>
      <c r="G652" s="32"/>
    </row>
    <row r="653" spans="1:7" s="24" customFormat="1" ht="19.95" customHeight="1" x14ac:dyDescent="0.25">
      <c r="A653" s="13">
        <v>1</v>
      </c>
      <c r="B653" s="14" t="s">
        <v>389</v>
      </c>
      <c r="C653" s="7"/>
      <c r="D653" s="8"/>
      <c r="E653" s="9"/>
      <c r="F653" s="10"/>
      <c r="G653" s="11"/>
    </row>
    <row r="654" spans="1:7" s="24" customFormat="1" ht="19.95" customHeight="1" x14ac:dyDescent="0.25">
      <c r="A654" s="16"/>
      <c r="B654" s="14"/>
      <c r="C654" s="7"/>
      <c r="D654" s="8"/>
      <c r="E654" s="9"/>
      <c r="F654" s="10"/>
      <c r="G654" s="11"/>
    </row>
    <row r="655" spans="1:7" s="33" customFormat="1" ht="19.95" customHeight="1" x14ac:dyDescent="0.25">
      <c r="A655" s="17"/>
      <c r="B655" s="38" t="s">
        <v>41</v>
      </c>
      <c r="C655" s="40">
        <v>1</v>
      </c>
      <c r="D655" s="41"/>
      <c r="E655" s="42"/>
      <c r="F655" s="43"/>
      <c r="G655" s="23"/>
    </row>
    <row r="656" spans="1:7" ht="19.95" customHeight="1" x14ac:dyDescent="0.35">
      <c r="B656" s="38" t="s">
        <v>46</v>
      </c>
      <c r="C656" s="40">
        <v>1</v>
      </c>
      <c r="D656" s="41"/>
      <c r="E656" s="42"/>
      <c r="F656" s="43"/>
      <c r="G656" s="23"/>
    </row>
    <row r="657" spans="1:7" ht="19.95" customHeight="1" x14ac:dyDescent="0.35">
      <c r="A657" s="16"/>
      <c r="B657" s="28"/>
      <c r="C657" s="16"/>
      <c r="D657" s="29"/>
      <c r="E657" s="30"/>
      <c r="F657" s="31"/>
      <c r="G657" s="32"/>
    </row>
    <row r="658" spans="1:7" s="24" customFormat="1" ht="19.95" customHeight="1" x14ac:dyDescent="0.25">
      <c r="A658" s="13">
        <v>2</v>
      </c>
      <c r="B658" s="14" t="s">
        <v>156</v>
      </c>
      <c r="C658" s="7"/>
      <c r="D658" s="8"/>
      <c r="E658" s="9"/>
      <c r="F658" s="10"/>
      <c r="G658" s="11"/>
    </row>
    <row r="659" spans="1:7" s="24" customFormat="1" ht="19.95" customHeight="1" x14ac:dyDescent="0.25">
      <c r="A659" s="16"/>
      <c r="B659" s="14"/>
      <c r="C659" s="7"/>
      <c r="D659" s="8"/>
      <c r="E659" s="9"/>
      <c r="F659" s="10"/>
      <c r="G659" s="11"/>
    </row>
    <row r="660" spans="1:7" s="33" customFormat="1" ht="19.95" customHeight="1" x14ac:dyDescent="0.25">
      <c r="A660" s="17"/>
      <c r="B660" s="38" t="s">
        <v>157</v>
      </c>
      <c r="C660" s="40"/>
      <c r="D660" s="41"/>
      <c r="E660" s="42"/>
      <c r="F660" s="43"/>
      <c r="G660" s="23">
        <v>2</v>
      </c>
    </row>
    <row r="661" spans="1:7" ht="19.95" customHeight="1" x14ac:dyDescent="0.35">
      <c r="B661" s="38" t="s">
        <v>158</v>
      </c>
      <c r="C661" s="40"/>
      <c r="D661" s="41"/>
      <c r="E661" s="42">
        <v>2</v>
      </c>
      <c r="F661" s="43"/>
      <c r="G661" s="23"/>
    </row>
    <row r="662" spans="1:7" ht="19.95" customHeight="1" x14ac:dyDescent="0.35">
      <c r="A662" s="16"/>
      <c r="B662" s="28"/>
      <c r="C662" s="16"/>
      <c r="D662" s="29"/>
      <c r="E662" s="30"/>
      <c r="F662" s="31"/>
      <c r="G662" s="32"/>
    </row>
    <row r="663" spans="1:7" ht="19.95" customHeight="1" x14ac:dyDescent="0.35">
      <c r="A663" s="13">
        <v>1</v>
      </c>
      <c r="B663" s="14" t="s">
        <v>390</v>
      </c>
      <c r="C663" s="7"/>
      <c r="D663" s="8"/>
      <c r="E663" s="9"/>
      <c r="F663" s="10"/>
      <c r="G663" s="11"/>
    </row>
    <row r="664" spans="1:7" ht="19.95" customHeight="1" x14ac:dyDescent="0.35">
      <c r="A664" s="16"/>
      <c r="B664" s="14"/>
      <c r="C664" s="7"/>
      <c r="D664" s="8"/>
      <c r="E664" s="9"/>
      <c r="F664" s="10"/>
      <c r="G664" s="11"/>
    </row>
    <row r="665" spans="1:7" ht="19.95" customHeight="1" x14ac:dyDescent="0.35">
      <c r="B665" s="38" t="s">
        <v>344</v>
      </c>
      <c r="C665" s="40">
        <f>A663</f>
        <v>1</v>
      </c>
      <c r="D665" s="41"/>
      <c r="E665" s="42"/>
      <c r="F665" s="43"/>
      <c r="G665" s="23"/>
    </row>
    <row r="666" spans="1:7" ht="19.95" customHeight="1" x14ac:dyDescent="0.35">
      <c r="A666" s="16"/>
      <c r="B666" s="28"/>
      <c r="C666" s="16"/>
      <c r="D666" s="29"/>
      <c r="E666" s="30"/>
      <c r="F666" s="31"/>
      <c r="G666" s="32"/>
    </row>
    <row r="667" spans="1:7" s="24" customFormat="1" ht="19.95" customHeight="1" x14ac:dyDescent="0.25">
      <c r="A667" s="13">
        <v>4</v>
      </c>
      <c r="B667" s="14" t="s">
        <v>390</v>
      </c>
      <c r="C667" s="7"/>
      <c r="D667" s="8"/>
      <c r="E667" s="9"/>
      <c r="F667" s="10"/>
      <c r="G667" s="11"/>
    </row>
    <row r="668" spans="1:7" s="24" customFormat="1" ht="19.95" customHeight="1" x14ac:dyDescent="0.25">
      <c r="A668" s="16"/>
      <c r="B668" s="14"/>
      <c r="C668" s="7"/>
      <c r="D668" s="8"/>
      <c r="E668" s="9"/>
      <c r="F668" s="10"/>
      <c r="G668" s="11"/>
    </row>
    <row r="669" spans="1:7" s="33" customFormat="1" ht="19.95" customHeight="1" x14ac:dyDescent="0.25">
      <c r="A669" s="17"/>
      <c r="B669" s="38" t="s">
        <v>344</v>
      </c>
      <c r="C669" s="40">
        <f>A667</f>
        <v>4</v>
      </c>
      <c r="D669" s="41"/>
      <c r="E669" s="42"/>
      <c r="F669" s="43"/>
      <c r="G669" s="23"/>
    </row>
    <row r="670" spans="1:7" ht="19.95" customHeight="1" x14ac:dyDescent="0.35">
      <c r="A670" s="16"/>
      <c r="B670" s="28"/>
      <c r="C670" s="16"/>
      <c r="D670" s="29"/>
      <c r="E670" s="30"/>
      <c r="F670" s="31"/>
      <c r="G670" s="32"/>
    </row>
    <row r="671" spans="1:7" ht="19.95" customHeight="1" x14ac:dyDescent="0.35">
      <c r="A671" s="44"/>
      <c r="B671" s="45" t="s">
        <v>10</v>
      </c>
      <c r="C671" s="46">
        <f>SUM(C591:C669)</f>
        <v>42</v>
      </c>
      <c r="D671" s="46">
        <f>SUM(D591:D669)</f>
        <v>7</v>
      </c>
      <c r="E671" s="46">
        <f>SUM(E591:E669)</f>
        <v>2</v>
      </c>
      <c r="F671" s="46">
        <f>SUM(F591:F669)</f>
        <v>0</v>
      </c>
      <c r="G671" s="46">
        <f>SUM(G591:G669)</f>
        <v>17</v>
      </c>
    </row>
    <row r="672" spans="1:7" s="24" customFormat="1" ht="19.95" customHeight="1" x14ac:dyDescent="0.25">
      <c r="A672" s="47"/>
      <c r="B672" s="48"/>
      <c r="C672" s="40"/>
      <c r="D672" s="40"/>
      <c r="E672" s="40"/>
      <c r="F672" s="40"/>
      <c r="G672" s="40"/>
    </row>
    <row r="673" spans="1:7" s="33" customFormat="1" ht="19.95" customHeight="1" x14ac:dyDescent="0.25">
      <c r="A673" s="75" t="s">
        <v>11</v>
      </c>
      <c r="B673" s="2" t="s">
        <v>1</v>
      </c>
      <c r="C673" s="90" t="s">
        <v>2</v>
      </c>
      <c r="D673" s="90"/>
      <c r="E673" s="90"/>
      <c r="F673" s="90"/>
      <c r="G673" s="90"/>
    </row>
    <row r="674" spans="1:7" s="24" customFormat="1" ht="97.8" customHeight="1" x14ac:dyDescent="0.25">
      <c r="A674" s="1"/>
      <c r="B674" s="6" t="s">
        <v>159</v>
      </c>
      <c r="C674" s="7" t="s">
        <v>4</v>
      </c>
      <c r="D674" s="8" t="s">
        <v>5</v>
      </c>
      <c r="E674" s="9" t="s">
        <v>6</v>
      </c>
      <c r="F674" s="10" t="s">
        <v>7</v>
      </c>
      <c r="G674" s="11" t="s">
        <v>8</v>
      </c>
    </row>
    <row r="675" spans="1:7" s="24" customFormat="1" ht="19.95" customHeight="1" x14ac:dyDescent="0.25">
      <c r="A675" s="13">
        <v>2</v>
      </c>
      <c r="B675" s="14" t="s">
        <v>91</v>
      </c>
      <c r="C675" s="7"/>
      <c r="D675" s="8"/>
      <c r="E675" s="9"/>
      <c r="F675" s="10"/>
      <c r="G675" s="11"/>
    </row>
    <row r="676" spans="1:7" s="24" customFormat="1" ht="19.95" customHeight="1" x14ac:dyDescent="0.25">
      <c r="A676" s="16"/>
      <c r="B676" s="14" t="s">
        <v>391</v>
      </c>
      <c r="C676" s="7"/>
      <c r="D676" s="8"/>
      <c r="E676" s="9"/>
      <c r="F676" s="10"/>
      <c r="G676" s="11"/>
    </row>
    <row r="677" spans="1:7" s="12" customFormat="1" ht="19.95" customHeight="1" x14ac:dyDescent="0.3">
      <c r="A677" s="17"/>
      <c r="B677" s="38" t="s">
        <v>360</v>
      </c>
      <c r="C677" s="40">
        <f>1*A675</f>
        <v>2</v>
      </c>
      <c r="D677" s="41"/>
      <c r="E677" s="42"/>
      <c r="F677" s="43"/>
      <c r="G677" s="23"/>
    </row>
    <row r="678" spans="1:7" ht="19.95" customHeight="1" x14ac:dyDescent="0.35">
      <c r="B678" s="38" t="s">
        <v>93</v>
      </c>
      <c r="C678" s="40">
        <f>1*A675</f>
        <v>2</v>
      </c>
      <c r="D678" s="41"/>
      <c r="E678" s="42"/>
      <c r="F678" s="43"/>
      <c r="G678" s="23"/>
    </row>
    <row r="679" spans="1:7" ht="19.95" customHeight="1" x14ac:dyDescent="0.35">
      <c r="B679" s="38" t="s">
        <v>361</v>
      </c>
      <c r="C679" s="40">
        <f>1*A675</f>
        <v>2</v>
      </c>
      <c r="D679" s="41"/>
      <c r="E679" s="42"/>
      <c r="F679" s="43"/>
      <c r="G679" s="23"/>
    </row>
    <row r="680" spans="1:7" s="24" customFormat="1" ht="19.95" customHeight="1" x14ac:dyDescent="0.25">
      <c r="A680" s="17"/>
      <c r="B680" s="38" t="s">
        <v>95</v>
      </c>
      <c r="C680" s="40"/>
      <c r="D680" s="41"/>
      <c r="E680" s="42"/>
      <c r="F680" s="43"/>
      <c r="G680" s="23">
        <v>1</v>
      </c>
    </row>
    <row r="681" spans="1:7" s="24" customFormat="1" ht="19.95" customHeight="1" x14ac:dyDescent="0.25">
      <c r="A681" s="17"/>
      <c r="B681" s="38" t="s">
        <v>96</v>
      </c>
      <c r="C681" s="40">
        <f>1*A675</f>
        <v>2</v>
      </c>
      <c r="D681" s="41"/>
      <c r="E681" s="42"/>
      <c r="F681" s="43"/>
      <c r="G681" s="23"/>
    </row>
    <row r="682" spans="1:7" s="24" customFormat="1" ht="19.95" customHeight="1" x14ac:dyDescent="0.25">
      <c r="A682" s="16"/>
      <c r="B682" s="28"/>
      <c r="C682" s="16"/>
      <c r="D682" s="29"/>
      <c r="E682" s="30"/>
      <c r="F682" s="31"/>
      <c r="G682" s="32"/>
    </row>
    <row r="683" spans="1:7" s="24" customFormat="1" ht="19.95" customHeight="1" x14ac:dyDescent="0.25">
      <c r="A683" s="13">
        <v>1</v>
      </c>
      <c r="B683" s="14" t="s">
        <v>103</v>
      </c>
      <c r="C683" s="7"/>
      <c r="D683" s="8"/>
      <c r="E683" s="9"/>
      <c r="F683" s="10"/>
      <c r="G683" s="11"/>
    </row>
    <row r="684" spans="1:7" s="24" customFormat="1" ht="19.95" customHeight="1" x14ac:dyDescent="0.25">
      <c r="A684" s="16"/>
      <c r="B684" s="14" t="s">
        <v>392</v>
      </c>
      <c r="C684" s="7"/>
      <c r="D684" s="8"/>
      <c r="E684" s="9"/>
      <c r="F684" s="10"/>
      <c r="G684" s="11"/>
    </row>
    <row r="685" spans="1:7" s="33" customFormat="1" ht="19.95" customHeight="1" x14ac:dyDescent="0.25">
      <c r="A685" s="17"/>
      <c r="B685" s="79" t="s">
        <v>105</v>
      </c>
      <c r="C685" s="19"/>
      <c r="D685" s="20"/>
      <c r="E685" s="21">
        <v>2</v>
      </c>
      <c r="F685" s="22"/>
      <c r="G685" s="23"/>
    </row>
    <row r="686" spans="1:7" ht="19.95" customHeight="1" x14ac:dyDescent="0.35">
      <c r="B686" s="38" t="s">
        <v>72</v>
      </c>
      <c r="C686" s="19"/>
      <c r="D686" s="20"/>
      <c r="E686" s="21">
        <v>2</v>
      </c>
      <c r="F686" s="22"/>
      <c r="G686" s="23"/>
    </row>
    <row r="687" spans="1:7" ht="19.95" customHeight="1" x14ac:dyDescent="0.35">
      <c r="B687" s="38" t="s">
        <v>15</v>
      </c>
      <c r="C687" s="19"/>
      <c r="D687" s="20"/>
      <c r="E687" s="21">
        <v>2</v>
      </c>
      <c r="F687" s="22"/>
      <c r="G687" s="23"/>
    </row>
    <row r="688" spans="1:7" s="24" customFormat="1" ht="19.95" customHeight="1" x14ac:dyDescent="0.25">
      <c r="A688" s="17"/>
      <c r="B688" s="79" t="s">
        <v>349</v>
      </c>
      <c r="C688" s="19"/>
      <c r="D688" s="20"/>
      <c r="E688" s="21">
        <v>2</v>
      </c>
      <c r="F688" s="22"/>
      <c r="G688" s="23"/>
    </row>
    <row r="689" spans="1:7" s="24" customFormat="1" ht="19.95" customHeight="1" x14ac:dyDescent="0.25">
      <c r="A689" s="17"/>
      <c r="B689" s="38" t="s">
        <v>17</v>
      </c>
      <c r="C689" s="19"/>
      <c r="D689" s="20"/>
      <c r="E689" s="21">
        <v>1</v>
      </c>
      <c r="F689" s="22"/>
      <c r="G689" s="23"/>
    </row>
    <row r="690" spans="1:7" s="24" customFormat="1" ht="19.95" customHeight="1" x14ac:dyDescent="0.25">
      <c r="A690" s="17"/>
      <c r="B690" s="38" t="s">
        <v>82</v>
      </c>
      <c r="C690" s="19"/>
      <c r="D690" s="20"/>
      <c r="E690" s="21">
        <v>2</v>
      </c>
      <c r="F690" s="22"/>
      <c r="G690" s="23"/>
    </row>
    <row r="691" spans="1:7" s="24" customFormat="1" ht="19.95" customHeight="1" x14ac:dyDescent="0.25">
      <c r="A691" s="17"/>
      <c r="B691" s="38" t="s">
        <v>106</v>
      </c>
      <c r="C691" s="19"/>
      <c r="D691" s="20"/>
      <c r="E691" s="21">
        <v>1</v>
      </c>
      <c r="F691" s="22"/>
      <c r="G691" s="23"/>
    </row>
    <row r="692" spans="1:7" s="24" customFormat="1" ht="19.95" customHeight="1" x14ac:dyDescent="0.25">
      <c r="A692" s="17"/>
      <c r="B692" s="79" t="s">
        <v>107</v>
      </c>
      <c r="C692" s="19"/>
      <c r="D692" s="20">
        <v>1</v>
      </c>
      <c r="E692" s="21"/>
      <c r="F692" s="22"/>
      <c r="G692" s="23"/>
    </row>
    <row r="693" spans="1:7" s="24" customFormat="1" ht="19.95" customHeight="1" x14ac:dyDescent="0.25">
      <c r="A693" s="17"/>
      <c r="B693" s="79" t="s">
        <v>108</v>
      </c>
      <c r="C693" s="19">
        <v>1</v>
      </c>
      <c r="D693" s="20"/>
      <c r="E693" s="21"/>
      <c r="F693" s="22"/>
      <c r="G693" s="23"/>
    </row>
    <row r="694" spans="1:7" s="24" customFormat="1" ht="19.95" customHeight="1" x14ac:dyDescent="0.25">
      <c r="A694" s="17"/>
      <c r="B694" s="79" t="s">
        <v>109</v>
      </c>
      <c r="C694" s="19">
        <v>1</v>
      </c>
      <c r="D694" s="20"/>
      <c r="E694" s="21"/>
      <c r="F694" s="22"/>
      <c r="G694" s="23"/>
    </row>
    <row r="695" spans="1:7" s="24" customFormat="1" ht="19.95" customHeight="1" x14ac:dyDescent="0.25">
      <c r="A695" s="17"/>
      <c r="B695" s="38" t="s">
        <v>350</v>
      </c>
      <c r="C695" s="19">
        <v>1</v>
      </c>
      <c r="D695" s="20"/>
      <c r="E695" s="21"/>
      <c r="F695" s="22"/>
      <c r="G695" s="23"/>
    </row>
    <row r="696" spans="1:7" s="24" customFormat="1" ht="19.95" customHeight="1" x14ac:dyDescent="0.25">
      <c r="A696" s="17"/>
      <c r="B696" s="79" t="s">
        <v>352</v>
      </c>
      <c r="C696" s="19">
        <v>1</v>
      </c>
      <c r="D696" s="20"/>
      <c r="E696" s="21"/>
      <c r="F696" s="22"/>
      <c r="G696" s="23"/>
    </row>
    <row r="697" spans="1:7" s="24" customFormat="1" ht="19.95" customHeight="1" x14ac:dyDescent="0.25">
      <c r="A697" s="17"/>
      <c r="B697" s="38" t="s">
        <v>353</v>
      </c>
      <c r="C697" s="19">
        <v>1</v>
      </c>
      <c r="D697" s="20"/>
      <c r="E697" s="21"/>
      <c r="F697" s="22"/>
      <c r="G697" s="23"/>
    </row>
    <row r="698" spans="1:7" s="24" customFormat="1" ht="19.95" customHeight="1" x14ac:dyDescent="0.25">
      <c r="A698" s="17"/>
      <c r="B698" s="38" t="s">
        <v>125</v>
      </c>
      <c r="C698" s="19">
        <v>1</v>
      </c>
      <c r="D698" s="20"/>
      <c r="E698" s="21"/>
      <c r="F698" s="22"/>
      <c r="G698" s="23"/>
    </row>
    <row r="699" spans="1:7" s="24" customFormat="1" ht="19.95" customHeight="1" x14ac:dyDescent="0.25">
      <c r="A699" s="17"/>
      <c r="B699" s="79" t="s">
        <v>110</v>
      </c>
      <c r="C699" s="19"/>
      <c r="D699" s="20"/>
      <c r="E699" s="21">
        <v>1</v>
      </c>
      <c r="F699" s="22">
        <v>1</v>
      </c>
      <c r="G699" s="23"/>
    </row>
    <row r="700" spans="1:7" s="24" customFormat="1" ht="19.95" customHeight="1" x14ac:dyDescent="0.25">
      <c r="A700" s="17"/>
      <c r="B700" s="79" t="s">
        <v>24</v>
      </c>
      <c r="C700" s="19"/>
      <c r="D700" s="20"/>
      <c r="E700" s="21">
        <v>1</v>
      </c>
      <c r="F700" s="22"/>
      <c r="G700" s="23"/>
    </row>
    <row r="701" spans="1:7" s="24" customFormat="1" ht="19.95" customHeight="1" x14ac:dyDescent="0.25">
      <c r="A701" s="17"/>
      <c r="B701" s="38" t="s">
        <v>18</v>
      </c>
      <c r="C701" s="19"/>
      <c r="D701" s="20"/>
      <c r="E701" s="21">
        <v>1</v>
      </c>
      <c r="F701" s="22"/>
      <c r="G701" s="23"/>
    </row>
    <row r="702" spans="1:7" s="24" customFormat="1" ht="19.95" customHeight="1" x14ac:dyDescent="0.25">
      <c r="A702" s="17"/>
      <c r="B702" s="38" t="s">
        <v>111</v>
      </c>
      <c r="C702" s="19"/>
      <c r="D702" s="20"/>
      <c r="E702" s="21">
        <v>1</v>
      </c>
      <c r="F702" s="22"/>
      <c r="G702" s="23"/>
    </row>
    <row r="703" spans="1:7" s="24" customFormat="1" ht="19.95" customHeight="1" x14ac:dyDescent="0.25">
      <c r="A703" s="17"/>
      <c r="B703" s="38" t="s">
        <v>126</v>
      </c>
      <c r="C703" s="19"/>
      <c r="D703" s="20">
        <v>1</v>
      </c>
      <c r="E703" s="21"/>
      <c r="F703" s="64">
        <v>1</v>
      </c>
      <c r="G703" s="23"/>
    </row>
    <row r="704" spans="1:7" s="24" customFormat="1" ht="19.95" customHeight="1" x14ac:dyDescent="0.25">
      <c r="A704" s="17"/>
      <c r="B704" s="38" t="s">
        <v>113</v>
      </c>
      <c r="C704" s="19">
        <v>1</v>
      </c>
      <c r="D704" s="20"/>
      <c r="E704" s="21"/>
      <c r="F704" s="64"/>
      <c r="G704" s="23"/>
    </row>
    <row r="705" spans="1:7" s="24" customFormat="1" ht="19.95" customHeight="1" x14ac:dyDescent="0.25">
      <c r="A705" s="17"/>
      <c r="B705" s="38" t="s">
        <v>127</v>
      </c>
      <c r="C705" s="19">
        <v>1</v>
      </c>
      <c r="D705" s="20"/>
      <c r="E705" s="21"/>
      <c r="F705" s="64"/>
      <c r="G705" s="23"/>
    </row>
    <row r="706" spans="1:7" s="24" customFormat="1" ht="19.95" customHeight="1" x14ac:dyDescent="0.25">
      <c r="A706" s="17"/>
      <c r="B706" s="38" t="s">
        <v>115</v>
      </c>
      <c r="C706" s="19">
        <v>1</v>
      </c>
      <c r="D706" s="20"/>
      <c r="E706" s="21"/>
      <c r="F706" s="64"/>
      <c r="G706" s="23"/>
    </row>
    <row r="707" spans="1:7" s="24" customFormat="1" ht="19.95" customHeight="1" x14ac:dyDescent="0.25">
      <c r="A707" s="17"/>
      <c r="B707" s="38" t="s">
        <v>116</v>
      </c>
      <c r="C707" s="19"/>
      <c r="D707" s="20">
        <v>1</v>
      </c>
      <c r="E707" s="21"/>
      <c r="F707" s="64">
        <v>1</v>
      </c>
      <c r="G707" s="23"/>
    </row>
    <row r="708" spans="1:7" s="24" customFormat="1" ht="19.95" customHeight="1" x14ac:dyDescent="0.25">
      <c r="A708" s="17"/>
      <c r="B708" s="38" t="s">
        <v>117</v>
      </c>
      <c r="C708" s="19">
        <v>1</v>
      </c>
      <c r="D708" s="20"/>
      <c r="E708" s="21"/>
      <c r="F708" s="22"/>
      <c r="G708" s="23"/>
    </row>
    <row r="709" spans="1:7" s="24" customFormat="1" ht="19.95" customHeight="1" x14ac:dyDescent="0.25">
      <c r="A709" s="17"/>
      <c r="B709" s="38" t="s">
        <v>129</v>
      </c>
      <c r="C709" s="19">
        <v>1</v>
      </c>
      <c r="D709" s="20"/>
      <c r="E709" s="21"/>
      <c r="F709" s="22"/>
      <c r="G709" s="23"/>
    </row>
    <row r="710" spans="1:7" s="24" customFormat="1" ht="19.95" customHeight="1" x14ac:dyDescent="0.25">
      <c r="A710" s="17"/>
      <c r="B710" s="38" t="s">
        <v>119</v>
      </c>
      <c r="C710" s="19">
        <v>1</v>
      </c>
      <c r="D710" s="20"/>
      <c r="E710" s="21"/>
      <c r="F710" s="22"/>
      <c r="G710" s="23"/>
    </row>
    <row r="711" spans="1:7" s="24" customFormat="1" ht="19.95" customHeight="1" x14ac:dyDescent="0.25">
      <c r="A711" s="16"/>
      <c r="B711" s="28"/>
      <c r="C711" s="19">
        <v>1</v>
      </c>
      <c r="D711" s="20"/>
      <c r="E711" s="21"/>
      <c r="F711" s="22"/>
      <c r="G711" s="23"/>
    </row>
    <row r="712" spans="1:7" s="24" customFormat="1" ht="19.95" customHeight="1" x14ac:dyDescent="0.25">
      <c r="A712" s="13">
        <v>1</v>
      </c>
      <c r="B712" s="14" t="s">
        <v>130</v>
      </c>
      <c r="C712" s="7"/>
      <c r="D712" s="8"/>
      <c r="E712" s="9"/>
      <c r="F712" s="10"/>
      <c r="G712" s="11"/>
    </row>
    <row r="713" spans="1:7" s="24" customFormat="1" ht="19.95" customHeight="1" x14ac:dyDescent="0.25">
      <c r="A713" s="16"/>
      <c r="B713" s="14" t="s">
        <v>393</v>
      </c>
      <c r="C713" s="7"/>
      <c r="D713" s="8"/>
      <c r="E713" s="9"/>
      <c r="F713" s="10"/>
      <c r="G713" s="11"/>
    </row>
    <row r="714" spans="1:7" s="33" customFormat="1" ht="19.95" customHeight="1" x14ac:dyDescent="0.25">
      <c r="A714" s="17"/>
      <c r="B714" s="38" t="s">
        <v>131</v>
      </c>
      <c r="C714" s="40"/>
      <c r="D714" s="41">
        <v>1</v>
      </c>
      <c r="E714" s="42"/>
      <c r="F714" s="43"/>
      <c r="G714" s="23"/>
    </row>
    <row r="715" spans="1:7" ht="19.95" customHeight="1" x14ac:dyDescent="0.35">
      <c r="B715" s="38" t="s">
        <v>132</v>
      </c>
      <c r="C715" s="40">
        <v>1</v>
      </c>
      <c r="D715" s="41"/>
      <c r="E715" s="42"/>
      <c r="F715" s="43"/>
      <c r="G715" s="23"/>
    </row>
    <row r="716" spans="1:7" ht="19.95" customHeight="1" x14ac:dyDescent="0.35">
      <c r="B716" s="38" t="s">
        <v>93</v>
      </c>
      <c r="C716" s="40">
        <v>1</v>
      </c>
      <c r="D716" s="41"/>
      <c r="E716" s="42"/>
      <c r="F716" s="43"/>
      <c r="G716" s="23"/>
    </row>
    <row r="717" spans="1:7" s="24" customFormat="1" ht="19.95" customHeight="1" x14ac:dyDescent="0.25">
      <c r="A717" s="17"/>
      <c r="B717" s="38" t="s">
        <v>133</v>
      </c>
      <c r="C717" s="40">
        <v>1</v>
      </c>
      <c r="D717" s="41"/>
      <c r="E717" s="42"/>
      <c r="F717" s="43"/>
      <c r="G717" s="23"/>
    </row>
    <row r="718" spans="1:7" s="24" customFormat="1" ht="19.95" customHeight="1" x14ac:dyDescent="0.25">
      <c r="A718" s="16"/>
      <c r="B718" s="28"/>
      <c r="C718" s="16"/>
      <c r="D718" s="29"/>
      <c r="E718" s="30"/>
      <c r="F718" s="31"/>
      <c r="G718" s="32"/>
    </row>
    <row r="719" spans="1:7" s="24" customFormat="1" ht="19.95" customHeight="1" x14ac:dyDescent="0.25">
      <c r="A719" s="13">
        <v>2</v>
      </c>
      <c r="B719" s="14" t="s">
        <v>137</v>
      </c>
      <c r="C719" s="7"/>
      <c r="D719" s="8"/>
      <c r="E719" s="9"/>
      <c r="F719" s="10"/>
      <c r="G719" s="11"/>
    </row>
    <row r="720" spans="1:7" s="24" customFormat="1" ht="19.95" customHeight="1" x14ac:dyDescent="0.25">
      <c r="A720" s="16"/>
      <c r="B720" s="14" t="s">
        <v>394</v>
      </c>
      <c r="C720" s="7"/>
      <c r="D720" s="8"/>
      <c r="E720" s="9"/>
      <c r="F720" s="10"/>
      <c r="G720" s="11"/>
    </row>
    <row r="721" spans="1:7" s="33" customFormat="1" ht="19.95" customHeight="1" x14ac:dyDescent="0.25">
      <c r="A721" s="17"/>
      <c r="B721" s="38" t="s">
        <v>373</v>
      </c>
      <c r="C721" s="40">
        <f>1*A719</f>
        <v>2</v>
      </c>
      <c r="D721" s="41"/>
      <c r="E721" s="42"/>
      <c r="F721" s="43"/>
      <c r="G721" s="23"/>
    </row>
    <row r="722" spans="1:7" ht="19.95" customHeight="1" x14ac:dyDescent="0.35">
      <c r="B722" s="38" t="s">
        <v>93</v>
      </c>
      <c r="C722" s="40">
        <f>1*A719</f>
        <v>2</v>
      </c>
      <c r="D722" s="41"/>
      <c r="E722" s="42"/>
      <c r="F722" s="43"/>
      <c r="G722" s="23"/>
    </row>
    <row r="723" spans="1:7" ht="19.95" customHeight="1" x14ac:dyDescent="0.35">
      <c r="B723" s="38" t="s">
        <v>361</v>
      </c>
      <c r="C723" s="40">
        <f>1*A719</f>
        <v>2</v>
      </c>
      <c r="D723" s="41"/>
      <c r="E723" s="42"/>
      <c r="F723" s="43"/>
      <c r="G723" s="23"/>
    </row>
    <row r="724" spans="1:7" s="24" customFormat="1" ht="19.95" customHeight="1" x14ac:dyDescent="0.25">
      <c r="A724" s="17"/>
      <c r="B724" s="38" t="s">
        <v>95</v>
      </c>
      <c r="C724" s="40"/>
      <c r="D724" s="41"/>
      <c r="E724" s="42"/>
      <c r="F724" s="43"/>
      <c r="G724" s="23">
        <v>2</v>
      </c>
    </row>
    <row r="725" spans="1:7" s="24" customFormat="1" ht="19.95" customHeight="1" x14ac:dyDescent="0.25">
      <c r="A725" s="17"/>
      <c r="B725" s="38" t="s">
        <v>96</v>
      </c>
      <c r="C725" s="40">
        <f>1*A719</f>
        <v>2</v>
      </c>
      <c r="D725" s="41"/>
      <c r="E725" s="42"/>
      <c r="F725" s="43"/>
      <c r="G725" s="23"/>
    </row>
    <row r="726" spans="1:7" s="24" customFormat="1" ht="19.95" customHeight="1" x14ac:dyDescent="0.25">
      <c r="A726" s="16"/>
      <c r="B726" s="28"/>
      <c r="C726" s="16"/>
      <c r="D726" s="29"/>
      <c r="E726" s="30"/>
      <c r="F726" s="31"/>
      <c r="G726" s="32"/>
    </row>
    <row r="727" spans="1:7" s="24" customFormat="1" ht="19.95" customHeight="1" x14ac:dyDescent="0.25">
      <c r="A727" s="13">
        <v>2</v>
      </c>
      <c r="B727" s="14" t="s">
        <v>25</v>
      </c>
      <c r="C727" s="7"/>
      <c r="D727" s="8"/>
      <c r="E727" s="9"/>
      <c r="F727" s="10"/>
      <c r="G727" s="11"/>
    </row>
    <row r="728" spans="1:7" s="24" customFormat="1" ht="19.95" customHeight="1" x14ac:dyDescent="0.25">
      <c r="A728" s="16"/>
      <c r="B728" s="14" t="s">
        <v>160</v>
      </c>
      <c r="C728" s="7"/>
      <c r="D728" s="8"/>
      <c r="E728" s="9"/>
      <c r="F728" s="10"/>
      <c r="G728" s="11"/>
    </row>
    <row r="729" spans="1:7" s="33" customFormat="1" ht="19.95" customHeight="1" x14ac:dyDescent="0.25">
      <c r="A729" s="17"/>
      <c r="B729" s="38" t="s">
        <v>26</v>
      </c>
      <c r="C729" s="40">
        <f>1*A727</f>
        <v>2</v>
      </c>
      <c r="D729" s="41"/>
      <c r="E729" s="42"/>
      <c r="F729" s="43"/>
      <c r="G729" s="23"/>
    </row>
    <row r="730" spans="1:7" ht="19.95" customHeight="1" x14ac:dyDescent="0.35">
      <c r="B730" s="38" t="s">
        <v>27</v>
      </c>
      <c r="C730" s="40">
        <f>1*A727</f>
        <v>2</v>
      </c>
      <c r="D730" s="41"/>
      <c r="E730" s="42"/>
      <c r="F730" s="43"/>
      <c r="G730" s="23"/>
    </row>
    <row r="731" spans="1:7" ht="19.95" customHeight="1" x14ac:dyDescent="0.35">
      <c r="A731" s="16"/>
      <c r="B731" s="28"/>
      <c r="C731" s="16"/>
      <c r="D731" s="29"/>
      <c r="E731" s="30"/>
      <c r="F731" s="31"/>
      <c r="G731" s="32"/>
    </row>
    <row r="732" spans="1:7" s="24" customFormat="1" ht="19.95" customHeight="1" x14ac:dyDescent="0.25">
      <c r="A732" s="13">
        <v>1</v>
      </c>
      <c r="B732" s="14" t="s">
        <v>29</v>
      </c>
      <c r="C732" s="7"/>
      <c r="D732" s="8"/>
      <c r="E732" s="9"/>
      <c r="F732" s="10"/>
      <c r="G732" s="11"/>
    </row>
    <row r="733" spans="1:7" s="24" customFormat="1" ht="19.95" customHeight="1" x14ac:dyDescent="0.25">
      <c r="A733" s="16"/>
      <c r="B733" s="14" t="s">
        <v>161</v>
      </c>
      <c r="C733" s="7"/>
      <c r="D733" s="8"/>
      <c r="E733" s="9"/>
      <c r="F733" s="10"/>
      <c r="G733" s="11"/>
    </row>
    <row r="734" spans="1:7" s="33" customFormat="1" ht="19.95" customHeight="1" x14ac:dyDescent="0.25">
      <c r="A734" s="17"/>
      <c r="B734" s="38" t="s">
        <v>26</v>
      </c>
      <c r="C734" s="40">
        <v>1</v>
      </c>
      <c r="D734" s="41"/>
      <c r="E734" s="42"/>
      <c r="F734" s="43"/>
      <c r="G734" s="23"/>
    </row>
    <row r="735" spans="1:7" ht="19.95" customHeight="1" x14ac:dyDescent="0.35">
      <c r="B735" s="38" t="s">
        <v>27</v>
      </c>
      <c r="C735" s="40">
        <v>1</v>
      </c>
      <c r="D735" s="41"/>
      <c r="E735" s="42"/>
      <c r="F735" s="43"/>
      <c r="G735" s="23"/>
    </row>
    <row r="736" spans="1:7" ht="19.95" customHeight="1" x14ac:dyDescent="0.35">
      <c r="A736" s="16"/>
      <c r="B736" s="28"/>
      <c r="C736" s="16"/>
      <c r="D736" s="29"/>
      <c r="E736" s="30"/>
      <c r="F736" s="31"/>
      <c r="G736" s="32"/>
    </row>
    <row r="737" spans="1:7" s="24" customFormat="1" ht="19.95" customHeight="1" x14ac:dyDescent="0.25">
      <c r="A737" s="13">
        <v>1</v>
      </c>
      <c r="B737" s="14" t="s">
        <v>340</v>
      </c>
      <c r="C737" s="7"/>
      <c r="D737" s="8"/>
      <c r="E737" s="9"/>
      <c r="F737" s="10"/>
      <c r="G737" s="11"/>
    </row>
    <row r="738" spans="1:7" s="24" customFormat="1" ht="19.95" customHeight="1" x14ac:dyDescent="0.25">
      <c r="A738" s="16"/>
      <c r="B738" s="14"/>
      <c r="C738" s="7"/>
      <c r="D738" s="8"/>
      <c r="E738" s="9"/>
      <c r="F738" s="10"/>
      <c r="G738" s="11"/>
    </row>
    <row r="739" spans="1:7" s="33" customFormat="1" ht="19.95" customHeight="1" x14ac:dyDescent="0.25">
      <c r="A739" s="17"/>
      <c r="B739" s="38" t="s">
        <v>43</v>
      </c>
      <c r="C739" s="40">
        <v>1</v>
      </c>
      <c r="D739" s="41"/>
      <c r="E739" s="42"/>
      <c r="F739" s="43"/>
      <c r="G739" s="23"/>
    </row>
    <row r="740" spans="1:7" ht="19.95" customHeight="1" x14ac:dyDescent="0.35">
      <c r="A740" s="16"/>
      <c r="B740" s="28"/>
      <c r="C740" s="16"/>
      <c r="D740" s="29"/>
      <c r="E740" s="30"/>
      <c r="F740" s="31"/>
      <c r="G740" s="32"/>
    </row>
    <row r="741" spans="1:7" ht="19.95" customHeight="1" x14ac:dyDescent="0.35">
      <c r="A741" s="13">
        <v>1</v>
      </c>
      <c r="B741" s="14" t="s">
        <v>162</v>
      </c>
      <c r="C741" s="7"/>
      <c r="D741" s="8"/>
      <c r="E741" s="9"/>
      <c r="F741" s="10"/>
      <c r="G741" s="11"/>
    </row>
    <row r="742" spans="1:7" s="24" customFormat="1" ht="19.95" customHeight="1" x14ac:dyDescent="0.25">
      <c r="A742" s="16"/>
      <c r="B742" s="14"/>
      <c r="C742" s="7"/>
      <c r="D742" s="8"/>
      <c r="E742" s="9"/>
      <c r="F742" s="10"/>
      <c r="G742" s="11"/>
    </row>
    <row r="743" spans="1:7" s="33" customFormat="1" ht="19.95" customHeight="1" x14ac:dyDescent="0.25">
      <c r="A743" s="17"/>
      <c r="B743" s="38" t="s">
        <v>162</v>
      </c>
      <c r="C743" s="40"/>
      <c r="D743" s="41"/>
      <c r="E743" s="42">
        <v>2</v>
      </c>
      <c r="F743" s="43"/>
      <c r="G743" s="23"/>
    </row>
    <row r="744" spans="1:7" ht="19.95" customHeight="1" x14ac:dyDescent="0.35">
      <c r="A744" s="16"/>
      <c r="B744" s="28"/>
      <c r="C744" s="16"/>
      <c r="D744" s="29"/>
      <c r="E744" s="30"/>
      <c r="F744" s="31"/>
      <c r="G744" s="32"/>
    </row>
    <row r="745" spans="1:7" ht="19.95" customHeight="1" x14ac:dyDescent="0.35">
      <c r="A745" s="13">
        <v>7</v>
      </c>
      <c r="B745" s="14" t="s">
        <v>390</v>
      </c>
      <c r="C745" s="7"/>
      <c r="D745" s="8"/>
      <c r="E745" s="9"/>
      <c r="F745" s="10"/>
      <c r="G745" s="11"/>
    </row>
    <row r="746" spans="1:7" s="24" customFormat="1" ht="19.95" customHeight="1" x14ac:dyDescent="0.25">
      <c r="A746" s="16"/>
      <c r="B746" s="14"/>
      <c r="C746" s="7"/>
      <c r="D746" s="8"/>
      <c r="E746" s="9"/>
      <c r="F746" s="10"/>
      <c r="G746" s="11"/>
    </row>
    <row r="747" spans="1:7" s="33" customFormat="1" ht="19.95" customHeight="1" x14ac:dyDescent="0.25">
      <c r="A747" s="17"/>
      <c r="B747" s="38" t="s">
        <v>344</v>
      </c>
      <c r="C747" s="40">
        <v>1</v>
      </c>
      <c r="D747" s="41"/>
      <c r="E747" s="42"/>
      <c r="F747" s="43"/>
      <c r="G747" s="23"/>
    </row>
    <row r="748" spans="1:7" ht="19.95" customHeight="1" x14ac:dyDescent="0.35">
      <c r="A748" s="16"/>
      <c r="B748" s="28"/>
      <c r="C748" s="16"/>
      <c r="D748" s="29"/>
      <c r="E748" s="30"/>
      <c r="F748" s="31"/>
      <c r="G748" s="32"/>
    </row>
    <row r="749" spans="1:7" ht="19.95" customHeight="1" x14ac:dyDescent="0.35">
      <c r="A749" s="44"/>
      <c r="B749" s="45" t="s">
        <v>10</v>
      </c>
      <c r="C749" s="46">
        <f>SUM(C677:C747)</f>
        <v>40</v>
      </c>
      <c r="D749" s="46">
        <f t="shared" ref="D749:G749" si="1">SUM(D677:D747)</f>
        <v>4</v>
      </c>
      <c r="E749" s="46">
        <f t="shared" si="1"/>
        <v>18</v>
      </c>
      <c r="F749" s="46">
        <f t="shared" si="1"/>
        <v>3</v>
      </c>
      <c r="G749" s="46">
        <f t="shared" si="1"/>
        <v>3</v>
      </c>
    </row>
    <row r="750" spans="1:7" s="24" customFormat="1" ht="19.95" customHeight="1" x14ac:dyDescent="0.25">
      <c r="A750" s="16"/>
      <c r="B750" s="28"/>
      <c r="C750" s="49"/>
      <c r="D750" s="49"/>
      <c r="E750" s="50"/>
      <c r="F750" s="49"/>
      <c r="G750" s="49"/>
    </row>
    <row r="751" spans="1:7" s="33" customFormat="1" ht="39" customHeight="1" x14ac:dyDescent="0.25">
      <c r="A751" s="75" t="s">
        <v>56</v>
      </c>
      <c r="B751" s="2" t="s">
        <v>1</v>
      </c>
      <c r="C751" s="90" t="s">
        <v>2</v>
      </c>
      <c r="D751" s="90"/>
      <c r="E751" s="90"/>
      <c r="F751" s="90"/>
      <c r="G751" s="90"/>
    </row>
    <row r="752" spans="1:7" s="24" customFormat="1" ht="89.4" x14ac:dyDescent="0.25">
      <c r="A752" s="1"/>
      <c r="B752" s="6" t="s">
        <v>163</v>
      </c>
      <c r="C752" s="7" t="s">
        <v>4</v>
      </c>
      <c r="D752" s="8" t="s">
        <v>5</v>
      </c>
      <c r="E752" s="9" t="s">
        <v>6</v>
      </c>
      <c r="F752" s="10" t="s">
        <v>7</v>
      </c>
      <c r="G752" s="11" t="s">
        <v>8</v>
      </c>
    </row>
    <row r="753" spans="1:7" customFormat="1" ht="19.95" customHeight="1" x14ac:dyDescent="0.25">
      <c r="A753" s="13">
        <v>1</v>
      </c>
      <c r="B753" s="14" t="s">
        <v>97</v>
      </c>
      <c r="C753" s="7"/>
      <c r="D753" s="8"/>
      <c r="E753" s="9"/>
      <c r="F753" s="10"/>
      <c r="G753" s="11"/>
    </row>
    <row r="754" spans="1:7" s="24" customFormat="1" ht="19.95" customHeight="1" x14ac:dyDescent="0.25">
      <c r="A754" s="16"/>
      <c r="B754" s="14" t="s">
        <v>164</v>
      </c>
      <c r="C754" s="7"/>
      <c r="D754" s="8"/>
      <c r="E754" s="9"/>
      <c r="F754" s="10"/>
      <c r="G754" s="11"/>
    </row>
    <row r="755" spans="1:7" s="12" customFormat="1" ht="19.95" customHeight="1" x14ac:dyDescent="0.3">
      <c r="A755" s="17"/>
      <c r="B755" s="38" t="s">
        <v>94</v>
      </c>
      <c r="C755" s="40"/>
      <c r="D755" s="41"/>
      <c r="E755" s="42"/>
      <c r="F755" s="43"/>
      <c r="G755" s="23">
        <v>1</v>
      </c>
    </row>
    <row r="756" spans="1:7" ht="19.95" customHeight="1" x14ac:dyDescent="0.35">
      <c r="B756" s="38" t="s">
        <v>99</v>
      </c>
      <c r="C756" s="40"/>
      <c r="D756" s="41"/>
      <c r="E756" s="42"/>
      <c r="F756" s="43"/>
      <c r="G756" s="23">
        <v>1</v>
      </c>
    </row>
    <row r="757" spans="1:7" ht="19.95" customHeight="1" x14ac:dyDescent="0.35">
      <c r="B757" s="38" t="s">
        <v>100</v>
      </c>
      <c r="C757" s="40">
        <v>1</v>
      </c>
      <c r="D757" s="41"/>
      <c r="E757" s="42"/>
      <c r="F757" s="43"/>
      <c r="G757" s="23"/>
    </row>
    <row r="758" spans="1:7" s="24" customFormat="1" ht="19.95" customHeight="1" x14ac:dyDescent="0.25">
      <c r="A758" s="17"/>
      <c r="B758" s="38" t="s">
        <v>93</v>
      </c>
      <c r="C758" s="40">
        <v>1</v>
      </c>
      <c r="D758" s="41"/>
      <c r="E758" s="42"/>
      <c r="F758" s="43"/>
      <c r="G758" s="23"/>
    </row>
    <row r="759" spans="1:7" s="24" customFormat="1" ht="19.95" customHeight="1" x14ac:dyDescent="0.25">
      <c r="A759" s="17"/>
      <c r="B759" s="38" t="s">
        <v>101</v>
      </c>
      <c r="C759" s="40">
        <v>1</v>
      </c>
      <c r="D759" s="41"/>
      <c r="E759" s="42"/>
      <c r="F759" s="43"/>
      <c r="G759" s="23"/>
    </row>
    <row r="760" spans="1:7" s="24" customFormat="1" ht="19.95" customHeight="1" x14ac:dyDescent="0.25">
      <c r="A760" s="16"/>
      <c r="B760" s="28"/>
      <c r="C760" s="16"/>
      <c r="D760" s="29"/>
      <c r="E760" s="30"/>
      <c r="F760" s="31"/>
      <c r="G760" s="32"/>
    </row>
    <row r="761" spans="1:7" s="24" customFormat="1" ht="19.95" customHeight="1" x14ac:dyDescent="0.25">
      <c r="A761" s="13">
        <v>3</v>
      </c>
      <c r="B761" s="14" t="s">
        <v>130</v>
      </c>
      <c r="C761" s="7"/>
      <c r="D761" s="8"/>
      <c r="E761" s="9"/>
      <c r="F761" s="10"/>
      <c r="G761" s="11"/>
    </row>
    <row r="762" spans="1:7" s="24" customFormat="1" ht="39" customHeight="1" x14ac:dyDescent="0.25">
      <c r="A762" s="16"/>
      <c r="B762" s="14" t="s">
        <v>395</v>
      </c>
      <c r="C762" s="7"/>
      <c r="D762" s="8"/>
      <c r="E762" s="9"/>
      <c r="F762" s="10"/>
      <c r="G762" s="11"/>
    </row>
    <row r="763" spans="1:7" s="33" customFormat="1" ht="19.95" customHeight="1" x14ac:dyDescent="0.25">
      <c r="A763" s="17"/>
      <c r="B763" s="38" t="s">
        <v>131</v>
      </c>
      <c r="C763" s="40"/>
      <c r="D763" s="41">
        <f>A761*1</f>
        <v>3</v>
      </c>
      <c r="E763" s="42"/>
      <c r="F763" s="43"/>
      <c r="G763" s="23"/>
    </row>
    <row r="764" spans="1:7" ht="19.95" customHeight="1" x14ac:dyDescent="0.35">
      <c r="B764" s="38" t="s">
        <v>132</v>
      </c>
      <c r="C764" s="40">
        <f>A761*1</f>
        <v>3</v>
      </c>
      <c r="D764" s="41"/>
      <c r="E764" s="42"/>
      <c r="F764" s="43"/>
      <c r="G764" s="23"/>
    </row>
    <row r="765" spans="1:7" ht="19.95" customHeight="1" x14ac:dyDescent="0.35">
      <c r="B765" s="38" t="s">
        <v>93</v>
      </c>
      <c r="C765" s="40">
        <f>C764</f>
        <v>3</v>
      </c>
      <c r="D765" s="41"/>
      <c r="E765" s="42"/>
      <c r="F765" s="43"/>
      <c r="G765" s="23"/>
    </row>
    <row r="766" spans="1:7" s="24" customFormat="1" ht="19.95" customHeight="1" x14ac:dyDescent="0.25">
      <c r="A766" s="17"/>
      <c r="B766" s="38" t="s">
        <v>133</v>
      </c>
      <c r="C766" s="40">
        <f>C764</f>
        <v>3</v>
      </c>
      <c r="D766" s="41"/>
      <c r="E766" s="42"/>
      <c r="F766" s="43"/>
      <c r="G766" s="23"/>
    </row>
    <row r="767" spans="1:7" s="24" customFormat="1" ht="19.95" customHeight="1" x14ac:dyDescent="0.25">
      <c r="A767" s="16"/>
      <c r="B767" s="28"/>
      <c r="C767" s="16"/>
      <c r="D767" s="29"/>
      <c r="E767" s="30"/>
      <c r="F767" s="31"/>
      <c r="G767" s="32"/>
    </row>
    <row r="768" spans="1:7" s="24" customFormat="1" ht="19.95" customHeight="1" x14ac:dyDescent="0.25">
      <c r="A768" s="13">
        <v>1</v>
      </c>
      <c r="B768" s="14" t="s">
        <v>137</v>
      </c>
      <c r="C768" s="7"/>
      <c r="D768" s="8"/>
      <c r="E768" s="9"/>
      <c r="F768" s="10"/>
      <c r="G768" s="11"/>
    </row>
    <row r="769" spans="1:7" s="24" customFormat="1" ht="19.95" customHeight="1" x14ac:dyDescent="0.25">
      <c r="A769" s="16"/>
      <c r="B769" s="14" t="s">
        <v>396</v>
      </c>
      <c r="C769" s="7"/>
      <c r="D769" s="8"/>
      <c r="E769" s="9"/>
      <c r="F769" s="10"/>
      <c r="G769" s="11"/>
    </row>
    <row r="770" spans="1:7" s="33" customFormat="1" ht="19.95" customHeight="1" x14ac:dyDescent="0.25">
      <c r="A770" s="17"/>
      <c r="B770" s="38" t="s">
        <v>373</v>
      </c>
      <c r="C770" s="40">
        <v>1</v>
      </c>
      <c r="D770" s="41"/>
      <c r="E770" s="42"/>
      <c r="F770" s="43"/>
      <c r="G770" s="23"/>
    </row>
    <row r="771" spans="1:7" ht="19.95" customHeight="1" x14ac:dyDescent="0.35">
      <c r="B771" s="38" t="s">
        <v>93</v>
      </c>
      <c r="C771" s="40">
        <v>1</v>
      </c>
      <c r="D771" s="41"/>
      <c r="E771" s="42"/>
      <c r="F771" s="43"/>
      <c r="G771" s="23"/>
    </row>
    <row r="772" spans="1:7" ht="19.95" customHeight="1" x14ac:dyDescent="0.35">
      <c r="B772" s="38" t="s">
        <v>361</v>
      </c>
      <c r="C772" s="40">
        <v>1</v>
      </c>
      <c r="D772" s="41"/>
      <c r="E772" s="42"/>
      <c r="F772" s="43"/>
      <c r="G772" s="23"/>
    </row>
    <row r="773" spans="1:7" s="24" customFormat="1" ht="19.95" customHeight="1" x14ac:dyDescent="0.25">
      <c r="A773" s="17"/>
      <c r="B773" s="38" t="s">
        <v>95</v>
      </c>
      <c r="C773" s="40"/>
      <c r="D773" s="41"/>
      <c r="E773" s="42"/>
      <c r="F773" s="43"/>
      <c r="G773" s="23">
        <v>1</v>
      </c>
    </row>
    <row r="774" spans="1:7" s="24" customFormat="1" ht="19.95" customHeight="1" x14ac:dyDescent="0.25">
      <c r="A774" s="17"/>
      <c r="B774" s="38" t="s">
        <v>96</v>
      </c>
      <c r="C774" s="40">
        <v>1</v>
      </c>
      <c r="D774" s="41"/>
      <c r="E774" s="42"/>
      <c r="F774" s="43"/>
      <c r="G774" s="23"/>
    </row>
    <row r="775" spans="1:7" s="24" customFormat="1" ht="19.95" customHeight="1" x14ac:dyDescent="0.25">
      <c r="A775" s="16"/>
      <c r="B775" s="28"/>
      <c r="C775" s="16"/>
      <c r="D775" s="29"/>
      <c r="E775" s="30"/>
      <c r="F775" s="31"/>
      <c r="G775" s="32"/>
    </row>
    <row r="776" spans="1:7" s="24" customFormat="1" ht="19.95" customHeight="1" x14ac:dyDescent="0.25">
      <c r="A776" s="13">
        <v>1</v>
      </c>
      <c r="B776" s="14" t="s">
        <v>91</v>
      </c>
      <c r="C776" s="7"/>
      <c r="D776" s="8"/>
      <c r="E776" s="9"/>
      <c r="F776" s="10"/>
      <c r="G776" s="11"/>
    </row>
    <row r="777" spans="1:7" s="24" customFormat="1" ht="19.95" customHeight="1" x14ac:dyDescent="0.25">
      <c r="A777" s="16"/>
      <c r="B777" s="14" t="s">
        <v>397</v>
      </c>
      <c r="C777" s="7"/>
      <c r="D777" s="8"/>
      <c r="E777" s="9"/>
      <c r="F777" s="10"/>
      <c r="G777" s="11"/>
    </row>
    <row r="778" spans="1:7" s="33" customFormat="1" ht="19.95" customHeight="1" x14ac:dyDescent="0.25">
      <c r="A778" s="17"/>
      <c r="B778" s="38" t="s">
        <v>360</v>
      </c>
      <c r="C778" s="40">
        <v>1</v>
      </c>
      <c r="D778" s="41"/>
      <c r="E778" s="42"/>
      <c r="F778" s="43"/>
      <c r="G778" s="23"/>
    </row>
    <row r="779" spans="1:7" ht="19.95" customHeight="1" x14ac:dyDescent="0.35">
      <c r="B779" s="38" t="s">
        <v>93</v>
      </c>
      <c r="C779" s="40">
        <v>1</v>
      </c>
      <c r="D779" s="41"/>
      <c r="E779" s="42"/>
      <c r="F779" s="43"/>
      <c r="G779" s="23"/>
    </row>
    <row r="780" spans="1:7" ht="19.95" customHeight="1" x14ac:dyDescent="0.35">
      <c r="B780" s="38" t="s">
        <v>361</v>
      </c>
      <c r="C780" s="40">
        <v>1</v>
      </c>
      <c r="D780" s="41"/>
      <c r="E780" s="42"/>
      <c r="F780" s="43"/>
      <c r="G780" s="23"/>
    </row>
    <row r="781" spans="1:7" s="24" customFormat="1" ht="19.95" customHeight="1" x14ac:dyDescent="0.25">
      <c r="A781" s="17"/>
      <c r="B781" s="38" t="s">
        <v>95</v>
      </c>
      <c r="C781" s="40"/>
      <c r="D781" s="41"/>
      <c r="E781" s="42"/>
      <c r="F781" s="43"/>
      <c r="G781" s="23">
        <v>1</v>
      </c>
    </row>
    <row r="782" spans="1:7" s="24" customFormat="1" ht="19.95" customHeight="1" x14ac:dyDescent="0.25">
      <c r="A782" s="17"/>
      <c r="B782" s="38" t="s">
        <v>96</v>
      </c>
      <c r="C782" s="40">
        <v>1</v>
      </c>
      <c r="D782" s="41"/>
      <c r="E782" s="42"/>
      <c r="F782" s="43"/>
      <c r="G782" s="23"/>
    </row>
    <row r="783" spans="1:7" s="24" customFormat="1" ht="19.95" customHeight="1" x14ac:dyDescent="0.25">
      <c r="A783" s="16"/>
      <c r="B783" s="28"/>
      <c r="C783" s="16"/>
      <c r="D783" s="29"/>
      <c r="E783" s="30"/>
      <c r="F783" s="31"/>
      <c r="G783" s="32"/>
    </row>
    <row r="784" spans="1:7" s="24" customFormat="1" ht="19.95" customHeight="1" x14ac:dyDescent="0.25">
      <c r="A784" s="13">
        <v>1</v>
      </c>
      <c r="B784" s="14" t="s">
        <v>103</v>
      </c>
      <c r="C784" s="7"/>
      <c r="D784" s="8"/>
      <c r="E784" s="9"/>
      <c r="F784" s="10"/>
      <c r="G784" s="11"/>
    </row>
    <row r="785" spans="1:7" s="24" customFormat="1" ht="19.95" customHeight="1" x14ac:dyDescent="0.25">
      <c r="A785" s="16"/>
      <c r="B785" s="14" t="s">
        <v>398</v>
      </c>
      <c r="C785" s="7"/>
      <c r="D785" s="8"/>
      <c r="E785" s="9"/>
      <c r="F785" s="10"/>
      <c r="G785" s="11"/>
    </row>
    <row r="786" spans="1:7" s="33" customFormat="1" ht="19.95" customHeight="1" x14ac:dyDescent="0.25">
      <c r="A786" s="17"/>
      <c r="B786" s="79" t="s">
        <v>105</v>
      </c>
      <c r="C786" s="19"/>
      <c r="D786" s="20"/>
      <c r="E786" s="21">
        <v>2</v>
      </c>
      <c r="F786" s="22"/>
      <c r="G786" s="23"/>
    </row>
    <row r="787" spans="1:7" ht="19.95" customHeight="1" x14ac:dyDescent="0.35">
      <c r="B787" s="38" t="s">
        <v>72</v>
      </c>
      <c r="C787" s="19"/>
      <c r="D787" s="20"/>
      <c r="E787" s="21">
        <v>2</v>
      </c>
      <c r="F787" s="22"/>
      <c r="G787" s="23"/>
    </row>
    <row r="788" spans="1:7" ht="19.95" customHeight="1" x14ac:dyDescent="0.35">
      <c r="B788" s="38" t="s">
        <v>15</v>
      </c>
      <c r="C788" s="19"/>
      <c r="D788" s="20"/>
      <c r="E788" s="21">
        <v>2</v>
      </c>
      <c r="F788" s="22"/>
      <c r="G788" s="23"/>
    </row>
    <row r="789" spans="1:7" s="24" customFormat="1" ht="19.95" customHeight="1" x14ac:dyDescent="0.25">
      <c r="A789" s="17"/>
      <c r="B789" s="79" t="s">
        <v>349</v>
      </c>
      <c r="C789" s="19"/>
      <c r="D789" s="20"/>
      <c r="E789" s="21">
        <v>2</v>
      </c>
      <c r="F789" s="22"/>
      <c r="G789" s="23"/>
    </row>
    <row r="790" spans="1:7" s="24" customFormat="1" ht="19.95" customHeight="1" x14ac:dyDescent="0.25">
      <c r="A790" s="17"/>
      <c r="B790" s="38" t="s">
        <v>17</v>
      </c>
      <c r="C790" s="19"/>
      <c r="D790" s="20"/>
      <c r="E790" s="21">
        <v>1</v>
      </c>
      <c r="F790" s="22"/>
      <c r="G790" s="23"/>
    </row>
    <row r="791" spans="1:7" s="24" customFormat="1" ht="19.95" customHeight="1" x14ac:dyDescent="0.25">
      <c r="A791" s="17"/>
      <c r="B791" s="38" t="s">
        <v>82</v>
      </c>
      <c r="C791" s="19"/>
      <c r="D791" s="20"/>
      <c r="E791" s="21">
        <v>2</v>
      </c>
      <c r="F791" s="22"/>
      <c r="G791" s="23"/>
    </row>
    <row r="792" spans="1:7" s="24" customFormat="1" ht="19.95" customHeight="1" x14ac:dyDescent="0.25">
      <c r="A792" s="17"/>
      <c r="B792" s="38" t="s">
        <v>106</v>
      </c>
      <c r="C792" s="19"/>
      <c r="D792" s="20"/>
      <c r="E792" s="21">
        <v>1</v>
      </c>
      <c r="F792" s="22"/>
      <c r="G792" s="23"/>
    </row>
    <row r="793" spans="1:7" s="24" customFormat="1" ht="19.95" customHeight="1" x14ac:dyDescent="0.25">
      <c r="A793" s="17"/>
      <c r="B793" s="79" t="s">
        <v>399</v>
      </c>
      <c r="C793" s="19"/>
      <c r="D793" s="20">
        <v>1</v>
      </c>
      <c r="E793" s="21"/>
      <c r="F793" s="22"/>
      <c r="G793" s="23"/>
    </row>
    <row r="794" spans="1:7" s="24" customFormat="1" ht="19.95" customHeight="1" x14ac:dyDescent="0.25">
      <c r="A794" s="17"/>
      <c r="B794" s="79" t="s">
        <v>107</v>
      </c>
      <c r="C794" s="19">
        <v>1</v>
      </c>
      <c r="D794" s="20"/>
      <c r="E794" s="21"/>
      <c r="F794" s="22"/>
      <c r="G794" s="23"/>
    </row>
    <row r="795" spans="1:7" s="24" customFormat="1" ht="19.95" customHeight="1" x14ac:dyDescent="0.25">
      <c r="A795" s="17"/>
      <c r="B795" s="79" t="s">
        <v>108</v>
      </c>
      <c r="C795" s="19">
        <v>1</v>
      </c>
      <c r="D795" s="20"/>
      <c r="E795" s="21"/>
      <c r="F795" s="22"/>
      <c r="G795" s="23"/>
    </row>
    <row r="796" spans="1:7" s="24" customFormat="1" ht="19.95" customHeight="1" x14ac:dyDescent="0.25">
      <c r="A796" s="17"/>
      <c r="B796" s="79" t="s">
        <v>109</v>
      </c>
      <c r="C796" s="19">
        <v>1</v>
      </c>
      <c r="D796" s="20"/>
      <c r="E796" s="21"/>
      <c r="F796" s="22"/>
      <c r="G796" s="23"/>
    </row>
    <row r="797" spans="1:7" s="24" customFormat="1" ht="19.95" customHeight="1" x14ac:dyDescent="0.25">
      <c r="A797" s="17"/>
      <c r="B797" s="38" t="s">
        <v>350</v>
      </c>
      <c r="C797" s="19">
        <v>1</v>
      </c>
      <c r="D797" s="20"/>
      <c r="E797" s="21"/>
      <c r="F797" s="22"/>
      <c r="G797" s="23"/>
    </row>
    <row r="798" spans="1:7" s="24" customFormat="1" ht="19.95" customHeight="1" x14ac:dyDescent="0.25">
      <c r="A798" s="17"/>
      <c r="B798" s="79" t="s">
        <v>352</v>
      </c>
      <c r="C798" s="19">
        <v>1</v>
      </c>
      <c r="D798" s="20"/>
      <c r="E798" s="21"/>
      <c r="F798" s="22"/>
      <c r="G798" s="23"/>
    </row>
    <row r="799" spans="1:7" s="24" customFormat="1" ht="19.95" customHeight="1" x14ac:dyDescent="0.25">
      <c r="A799" s="17"/>
      <c r="B799" s="38" t="s">
        <v>353</v>
      </c>
      <c r="C799" s="19">
        <v>1</v>
      </c>
      <c r="D799" s="20"/>
      <c r="E799" s="21"/>
      <c r="F799" s="22"/>
      <c r="G799" s="23"/>
    </row>
    <row r="800" spans="1:7" s="24" customFormat="1" ht="19.95" customHeight="1" x14ac:dyDescent="0.25">
      <c r="A800" s="17"/>
      <c r="B800" s="38" t="s">
        <v>125</v>
      </c>
      <c r="C800" s="19"/>
      <c r="D800" s="20"/>
      <c r="E800" s="21">
        <v>1</v>
      </c>
      <c r="F800" s="22">
        <v>1</v>
      </c>
      <c r="G800" s="23"/>
    </row>
    <row r="801" spans="1:7" s="24" customFormat="1" ht="19.95" customHeight="1" x14ac:dyDescent="0.25">
      <c r="A801" s="17"/>
      <c r="B801" s="79" t="s">
        <v>110</v>
      </c>
      <c r="C801" s="19"/>
      <c r="D801" s="20"/>
      <c r="E801" s="21">
        <v>1</v>
      </c>
      <c r="F801" s="22"/>
      <c r="G801" s="23"/>
    </row>
    <row r="802" spans="1:7" s="24" customFormat="1" ht="19.95" customHeight="1" x14ac:dyDescent="0.25">
      <c r="A802" s="17"/>
      <c r="B802" s="79" t="s">
        <v>24</v>
      </c>
      <c r="C802" s="19"/>
      <c r="D802" s="20"/>
      <c r="E802" s="21">
        <v>1</v>
      </c>
      <c r="F802" s="22"/>
      <c r="G802" s="23"/>
    </row>
    <row r="803" spans="1:7" s="24" customFormat="1" ht="19.95" customHeight="1" x14ac:dyDescent="0.25">
      <c r="A803" s="17"/>
      <c r="B803" s="38" t="s">
        <v>18</v>
      </c>
      <c r="C803" s="19"/>
      <c r="D803" s="20"/>
      <c r="E803" s="21">
        <v>1</v>
      </c>
      <c r="F803" s="22"/>
      <c r="G803" s="23"/>
    </row>
    <row r="804" spans="1:7" s="24" customFormat="1" ht="19.95" customHeight="1" x14ac:dyDescent="0.25">
      <c r="A804" s="17"/>
      <c r="B804" s="38" t="s">
        <v>111</v>
      </c>
      <c r="C804" s="19"/>
      <c r="D804" s="20">
        <v>1</v>
      </c>
      <c r="E804" s="21"/>
      <c r="F804" s="64">
        <v>1</v>
      </c>
      <c r="G804" s="23"/>
    </row>
    <row r="805" spans="1:7" s="24" customFormat="1" ht="19.95" customHeight="1" x14ac:dyDescent="0.25">
      <c r="A805" s="17"/>
      <c r="B805" s="38" t="s">
        <v>126</v>
      </c>
      <c r="C805" s="19">
        <v>1</v>
      </c>
      <c r="D805" s="20"/>
      <c r="E805" s="21"/>
      <c r="F805" s="64"/>
      <c r="G805" s="23"/>
    </row>
    <row r="806" spans="1:7" s="24" customFormat="1" ht="19.95" customHeight="1" x14ac:dyDescent="0.25">
      <c r="A806" s="17"/>
      <c r="B806" s="38" t="s">
        <v>113</v>
      </c>
      <c r="C806" s="19">
        <v>1</v>
      </c>
      <c r="D806" s="20"/>
      <c r="E806" s="21"/>
      <c r="F806" s="64"/>
      <c r="G806" s="23"/>
    </row>
    <row r="807" spans="1:7" s="24" customFormat="1" ht="19.95" customHeight="1" x14ac:dyDescent="0.25">
      <c r="A807" s="17"/>
      <c r="B807" s="38" t="s">
        <v>127</v>
      </c>
      <c r="C807" s="19">
        <v>1</v>
      </c>
      <c r="D807" s="20"/>
      <c r="E807" s="21"/>
      <c r="F807" s="64"/>
      <c r="G807" s="23"/>
    </row>
    <row r="808" spans="1:7" s="24" customFormat="1" ht="19.95" customHeight="1" x14ac:dyDescent="0.25">
      <c r="A808" s="17"/>
      <c r="B808" s="38" t="s">
        <v>115</v>
      </c>
      <c r="C808" s="19"/>
      <c r="D808" s="20">
        <v>1</v>
      </c>
      <c r="E808" s="21"/>
      <c r="F808" s="64">
        <v>1</v>
      </c>
      <c r="G808" s="23"/>
    </row>
    <row r="809" spans="1:7" s="24" customFormat="1" ht="19.95" customHeight="1" x14ac:dyDescent="0.25">
      <c r="A809" s="17"/>
      <c r="B809" s="38" t="s">
        <v>116</v>
      </c>
      <c r="C809" s="19">
        <v>1</v>
      </c>
      <c r="D809" s="20"/>
      <c r="E809" s="21"/>
      <c r="F809" s="22"/>
      <c r="G809" s="23"/>
    </row>
    <row r="810" spans="1:7" s="24" customFormat="1" ht="19.95" customHeight="1" x14ac:dyDescent="0.25">
      <c r="A810" s="17"/>
      <c r="B810" s="38" t="s">
        <v>117</v>
      </c>
      <c r="C810" s="19">
        <v>1</v>
      </c>
      <c r="D810" s="20"/>
      <c r="E810" s="21"/>
      <c r="F810" s="22"/>
      <c r="G810" s="23"/>
    </row>
    <row r="811" spans="1:7" s="24" customFormat="1" ht="19.95" customHeight="1" x14ac:dyDescent="0.25">
      <c r="A811" s="17"/>
      <c r="B811" s="38" t="s">
        <v>129</v>
      </c>
      <c r="C811" s="19">
        <v>1</v>
      </c>
      <c r="D811" s="20"/>
      <c r="E811" s="21"/>
      <c r="F811" s="22"/>
      <c r="G811" s="23"/>
    </row>
    <row r="812" spans="1:7" s="24" customFormat="1" ht="19.95" customHeight="1" x14ac:dyDescent="0.25">
      <c r="A812" s="17"/>
      <c r="B812" s="38" t="s">
        <v>119</v>
      </c>
      <c r="C812" s="19">
        <v>1</v>
      </c>
      <c r="D812" s="20"/>
      <c r="E812" s="21"/>
      <c r="F812" s="22"/>
      <c r="G812" s="23"/>
    </row>
    <row r="813" spans="1:7" s="24" customFormat="1" ht="19.95" customHeight="1" x14ac:dyDescent="0.25">
      <c r="A813" s="17"/>
      <c r="B813" s="38"/>
      <c r="C813" s="40"/>
      <c r="D813" s="41"/>
      <c r="E813" s="42"/>
      <c r="F813" s="43"/>
      <c r="G813" s="23"/>
    </row>
    <row r="814" spans="1:7" s="24" customFormat="1" ht="19.95" customHeight="1" x14ac:dyDescent="0.25">
      <c r="A814" s="16"/>
      <c r="B814" s="28"/>
      <c r="C814" s="16"/>
      <c r="D814" s="29"/>
      <c r="E814" s="30"/>
      <c r="F814" s="31"/>
      <c r="G814" s="32"/>
    </row>
    <row r="815" spans="1:7" s="24" customFormat="1" ht="19.95" customHeight="1" x14ac:dyDescent="0.25">
      <c r="A815" s="44"/>
      <c r="B815" s="45" t="s">
        <v>10</v>
      </c>
      <c r="C815" s="46">
        <f>SUM(C755:C812)</f>
        <v>33</v>
      </c>
      <c r="D815" s="46">
        <f t="shared" ref="D815:G815" si="2">SUM(D755:D812)</f>
        <v>6</v>
      </c>
      <c r="E815" s="46">
        <f t="shared" si="2"/>
        <v>16</v>
      </c>
      <c r="F815" s="46">
        <f t="shared" si="2"/>
        <v>3</v>
      </c>
      <c r="G815" s="46">
        <f t="shared" si="2"/>
        <v>4</v>
      </c>
    </row>
    <row r="816" spans="1:7" s="24" customFormat="1" ht="19.95" customHeight="1" x14ac:dyDescent="0.25">
      <c r="A816" s="16"/>
      <c r="B816" s="28"/>
      <c r="C816" s="49"/>
      <c r="D816" s="49"/>
      <c r="E816" s="50"/>
      <c r="F816" s="49"/>
      <c r="G816" s="49"/>
    </row>
    <row r="817" spans="1:7" s="33" customFormat="1" ht="31.8" customHeight="1" x14ac:dyDescent="0.25">
      <c r="A817" s="75" t="s">
        <v>11</v>
      </c>
      <c r="B817" s="2" t="s">
        <v>1</v>
      </c>
      <c r="C817" s="90" t="s">
        <v>2</v>
      </c>
      <c r="D817" s="90"/>
      <c r="E817" s="90"/>
      <c r="F817" s="90"/>
      <c r="G817" s="90"/>
    </row>
    <row r="818" spans="1:7" s="24" customFormat="1" ht="89.4" x14ac:dyDescent="0.25">
      <c r="A818" s="1"/>
      <c r="B818" s="65" t="s">
        <v>165</v>
      </c>
      <c r="C818" s="7" t="s">
        <v>4</v>
      </c>
      <c r="D818" s="8" t="s">
        <v>5</v>
      </c>
      <c r="E818" s="9" t="s">
        <v>6</v>
      </c>
      <c r="F818" s="10" t="s">
        <v>7</v>
      </c>
      <c r="G818" s="11" t="s">
        <v>8</v>
      </c>
    </row>
    <row r="819" spans="1:7" customFormat="1" ht="19.95" customHeight="1" x14ac:dyDescent="0.25">
      <c r="A819" s="13">
        <v>1</v>
      </c>
      <c r="B819" s="14" t="s">
        <v>400</v>
      </c>
      <c r="C819" s="7"/>
      <c r="D819" s="8"/>
      <c r="E819" s="9"/>
      <c r="F819" s="10"/>
      <c r="G819" s="11"/>
    </row>
    <row r="820" spans="1:7" s="24" customFormat="1" ht="19.95" customHeight="1" x14ac:dyDescent="0.25">
      <c r="A820" s="16"/>
      <c r="B820" s="14" t="s">
        <v>401</v>
      </c>
      <c r="C820" s="7"/>
      <c r="D820" s="8"/>
      <c r="E820" s="9"/>
      <c r="F820" s="10"/>
      <c r="G820" s="11"/>
    </row>
    <row r="821" spans="1:7" s="12" customFormat="1" ht="19.95" customHeight="1" x14ac:dyDescent="0.3">
      <c r="A821" s="17"/>
      <c r="B821" s="38" t="s">
        <v>402</v>
      </c>
      <c r="C821" s="40">
        <v>1</v>
      </c>
      <c r="D821" s="41"/>
      <c r="E821" s="42"/>
      <c r="F821" s="43"/>
      <c r="G821" s="23"/>
    </row>
    <row r="822" spans="1:7" ht="19.95" customHeight="1" x14ac:dyDescent="0.35">
      <c r="B822" s="38" t="s">
        <v>403</v>
      </c>
      <c r="C822" s="40">
        <v>1</v>
      </c>
      <c r="D822" s="41"/>
      <c r="E822" s="42"/>
      <c r="F822" s="43"/>
      <c r="G822" s="23"/>
    </row>
    <row r="823" spans="1:7" ht="19.95" customHeight="1" x14ac:dyDescent="0.35">
      <c r="B823" s="38" t="s">
        <v>404</v>
      </c>
      <c r="C823" s="40">
        <v>1</v>
      </c>
      <c r="D823" s="41"/>
      <c r="E823" s="42"/>
      <c r="F823" s="43"/>
      <c r="G823" s="23"/>
    </row>
    <row r="824" spans="1:7" s="24" customFormat="1" ht="19.95" customHeight="1" x14ac:dyDescent="0.25">
      <c r="A824" s="17"/>
      <c r="B824" s="38" t="s">
        <v>405</v>
      </c>
      <c r="C824" s="40">
        <v>1</v>
      </c>
      <c r="D824" s="41"/>
      <c r="E824" s="42"/>
      <c r="F824" s="43"/>
      <c r="G824" s="23"/>
    </row>
    <row r="825" spans="1:7" s="24" customFormat="1" ht="19.95" customHeight="1" x14ac:dyDescent="0.25">
      <c r="A825" s="17"/>
      <c r="B825" s="38" t="s">
        <v>406</v>
      </c>
      <c r="C825" s="40">
        <v>1</v>
      </c>
      <c r="D825" s="41"/>
      <c r="E825" s="42"/>
      <c r="F825" s="43"/>
      <c r="G825" s="23"/>
    </row>
    <row r="826" spans="1:7" s="24" customFormat="1" ht="19.95" customHeight="1" x14ac:dyDescent="0.25">
      <c r="A826" s="16"/>
      <c r="B826" s="28"/>
      <c r="C826" s="16"/>
      <c r="D826" s="29"/>
      <c r="E826" s="30"/>
      <c r="F826" s="31"/>
      <c r="G826" s="32"/>
    </row>
    <row r="827" spans="1:7" s="24" customFormat="1" ht="19.95" customHeight="1" x14ac:dyDescent="0.25">
      <c r="A827" s="13">
        <v>1</v>
      </c>
      <c r="B827" s="14" t="s">
        <v>152</v>
      </c>
      <c r="C827" s="7"/>
      <c r="D827" s="8"/>
      <c r="E827" s="9"/>
      <c r="F827" s="10"/>
      <c r="G827" s="11"/>
    </row>
    <row r="828" spans="1:7" s="24" customFormat="1" ht="19.95" customHeight="1" x14ac:dyDescent="0.25">
      <c r="A828" s="16"/>
      <c r="B828" s="14"/>
      <c r="C828" s="7"/>
      <c r="D828" s="8"/>
      <c r="E828" s="9"/>
      <c r="F828" s="10"/>
      <c r="G828" s="11"/>
    </row>
    <row r="829" spans="1:7" s="33" customFormat="1" ht="19.95" customHeight="1" x14ac:dyDescent="0.25">
      <c r="A829" s="17"/>
      <c r="B829" s="38" t="s">
        <v>153</v>
      </c>
      <c r="C829" s="40">
        <v>1</v>
      </c>
      <c r="D829" s="41"/>
      <c r="E829" s="42"/>
      <c r="F829" s="43"/>
      <c r="G829" s="23"/>
    </row>
    <row r="830" spans="1:7" ht="19.95" customHeight="1" x14ac:dyDescent="0.35">
      <c r="A830" s="16"/>
      <c r="B830" s="28"/>
      <c r="C830" s="16"/>
      <c r="D830" s="29"/>
      <c r="E830" s="30"/>
      <c r="F830" s="31"/>
      <c r="G830" s="32"/>
    </row>
    <row r="831" spans="1:7" ht="19.95" customHeight="1" x14ac:dyDescent="0.35">
      <c r="A831" s="13">
        <v>1</v>
      </c>
      <c r="B831" s="14" t="s">
        <v>389</v>
      </c>
      <c r="C831" s="7"/>
      <c r="D831" s="8"/>
      <c r="E831" s="9"/>
      <c r="F831" s="10"/>
      <c r="G831" s="11"/>
    </row>
    <row r="832" spans="1:7" s="24" customFormat="1" ht="19.95" customHeight="1" x14ac:dyDescent="0.25">
      <c r="A832" s="16"/>
      <c r="B832" s="14"/>
      <c r="C832" s="7"/>
      <c r="D832" s="8"/>
      <c r="E832" s="9"/>
      <c r="F832" s="10"/>
      <c r="G832" s="11"/>
    </row>
    <row r="833" spans="1:7" s="33" customFormat="1" ht="19.95" customHeight="1" x14ac:dyDescent="0.25">
      <c r="A833" s="17"/>
      <c r="B833" s="38" t="s">
        <v>166</v>
      </c>
      <c r="C833" s="40">
        <v>1</v>
      </c>
      <c r="D833" s="41"/>
      <c r="E833" s="42"/>
      <c r="F833" s="43"/>
      <c r="G833" s="23"/>
    </row>
    <row r="834" spans="1:7" ht="19.95" customHeight="1" x14ac:dyDescent="0.35">
      <c r="B834" s="38" t="s">
        <v>407</v>
      </c>
      <c r="C834" s="40">
        <v>1</v>
      </c>
      <c r="D834" s="41"/>
      <c r="E834" s="42"/>
      <c r="F834" s="43"/>
      <c r="G834" s="23"/>
    </row>
    <row r="835" spans="1:7" ht="19.95" customHeight="1" x14ac:dyDescent="0.35">
      <c r="A835" s="16"/>
      <c r="B835" s="28"/>
      <c r="C835" s="16"/>
      <c r="D835" s="29"/>
      <c r="E835" s="30"/>
      <c r="F835" s="31"/>
      <c r="G835" s="32"/>
    </row>
    <row r="836" spans="1:7" s="24" customFormat="1" ht="19.95" customHeight="1" x14ac:dyDescent="0.25">
      <c r="A836" s="13">
        <v>3</v>
      </c>
      <c r="B836" s="14" t="s">
        <v>408</v>
      </c>
      <c r="C836" s="7"/>
      <c r="D836" s="8"/>
      <c r="E836" s="9"/>
      <c r="F836" s="10"/>
      <c r="G836" s="11"/>
    </row>
    <row r="837" spans="1:7" s="24" customFormat="1" ht="19.95" customHeight="1" x14ac:dyDescent="0.25">
      <c r="A837" s="16"/>
      <c r="B837" s="14"/>
      <c r="C837" s="7"/>
      <c r="D837" s="8"/>
      <c r="E837" s="9"/>
      <c r="F837" s="10"/>
      <c r="G837" s="11"/>
    </row>
    <row r="838" spans="1:7" s="33" customFormat="1" ht="19.95" customHeight="1" x14ac:dyDescent="0.25">
      <c r="A838" s="17"/>
      <c r="B838" s="38" t="s">
        <v>153</v>
      </c>
      <c r="C838" s="40">
        <v>3</v>
      </c>
      <c r="D838" s="41"/>
      <c r="E838" s="42"/>
      <c r="F838" s="43"/>
      <c r="G838" s="23"/>
    </row>
    <row r="839" spans="1:7" ht="19.95" customHeight="1" x14ac:dyDescent="0.35">
      <c r="A839" s="16"/>
      <c r="B839" s="28"/>
      <c r="C839" s="16"/>
      <c r="D839" s="29"/>
      <c r="E839" s="30"/>
      <c r="F839" s="31"/>
      <c r="G839" s="32"/>
    </row>
    <row r="840" spans="1:7" ht="19.95" customHeight="1" x14ac:dyDescent="0.35">
      <c r="A840" s="13">
        <v>1</v>
      </c>
      <c r="B840" s="14" t="s">
        <v>409</v>
      </c>
      <c r="C840" s="7"/>
      <c r="D840" s="8"/>
      <c r="E840" s="9"/>
      <c r="F840" s="10"/>
      <c r="G840" s="11"/>
    </row>
    <row r="841" spans="1:7" s="24" customFormat="1" ht="19.95" customHeight="1" x14ac:dyDescent="0.25">
      <c r="A841" s="16"/>
      <c r="B841" s="14" t="s">
        <v>410</v>
      </c>
      <c r="C841" s="7"/>
      <c r="D841" s="8"/>
      <c r="E841" s="9"/>
      <c r="F841" s="10"/>
      <c r="G841" s="11"/>
    </row>
    <row r="842" spans="1:7" s="33" customFormat="1" ht="19.95" customHeight="1" x14ac:dyDescent="0.25">
      <c r="A842" s="17"/>
      <c r="B842" s="38" t="s">
        <v>387</v>
      </c>
      <c r="C842" s="40"/>
      <c r="D842" s="41">
        <v>3</v>
      </c>
      <c r="E842" s="42"/>
      <c r="F842" s="43"/>
      <c r="G842" s="23"/>
    </row>
    <row r="843" spans="1:7" ht="19.95" customHeight="1" x14ac:dyDescent="0.35">
      <c r="B843" s="38" t="s">
        <v>135</v>
      </c>
      <c r="C843" s="40">
        <v>3</v>
      </c>
      <c r="D843" s="41"/>
      <c r="E843" s="42"/>
      <c r="F843" s="43"/>
      <c r="G843" s="23"/>
    </row>
    <row r="844" spans="1:7" ht="19.95" customHeight="1" x14ac:dyDescent="0.35">
      <c r="B844" s="38" t="s">
        <v>411</v>
      </c>
      <c r="C844" s="40">
        <v>3</v>
      </c>
      <c r="D844" s="41"/>
      <c r="E844" s="42"/>
      <c r="F844" s="43"/>
      <c r="G844" s="23"/>
    </row>
    <row r="845" spans="1:7" s="24" customFormat="1" ht="19.95" customHeight="1" x14ac:dyDescent="0.25">
      <c r="A845" s="17"/>
      <c r="B845" s="38" t="s">
        <v>412</v>
      </c>
      <c r="C845" s="40">
        <v>3</v>
      </c>
      <c r="D845" s="41"/>
      <c r="E845" s="42"/>
      <c r="F845" s="43"/>
      <c r="G845" s="23"/>
    </row>
    <row r="846" spans="1:7" s="24" customFormat="1" ht="19.95" customHeight="1" x14ac:dyDescent="0.25">
      <c r="A846" s="16"/>
      <c r="B846" s="28"/>
      <c r="C846" s="16"/>
      <c r="D846" s="29"/>
      <c r="E846" s="30"/>
      <c r="F846" s="31"/>
      <c r="G846" s="32"/>
    </row>
    <row r="847" spans="1:7" s="24" customFormat="1" ht="19.95" customHeight="1" x14ac:dyDescent="0.25">
      <c r="A847" s="13">
        <v>1</v>
      </c>
      <c r="B847" s="14" t="s">
        <v>167</v>
      </c>
      <c r="C847" s="7"/>
      <c r="D847" s="8"/>
      <c r="E847" s="9"/>
      <c r="F847" s="10"/>
      <c r="G847" s="11"/>
    </row>
    <row r="848" spans="1:7" s="24" customFormat="1" ht="19.95" customHeight="1" x14ac:dyDescent="0.25">
      <c r="A848" s="16"/>
      <c r="B848" s="14"/>
      <c r="C848" s="7"/>
      <c r="D848" s="8"/>
      <c r="E848" s="9"/>
      <c r="F848" s="10"/>
      <c r="G848" s="11"/>
    </row>
    <row r="849" spans="1:7" s="33" customFormat="1" ht="19.95" customHeight="1" x14ac:dyDescent="0.25">
      <c r="A849" s="17"/>
      <c r="B849" s="38" t="s">
        <v>168</v>
      </c>
      <c r="C849" s="40">
        <v>2</v>
      </c>
      <c r="D849" s="41"/>
      <c r="E849" s="42"/>
      <c r="F849" s="43"/>
      <c r="G849" s="23"/>
    </row>
    <row r="850" spans="1:7" ht="19.95" customHeight="1" x14ac:dyDescent="0.35">
      <c r="B850" s="38" t="s">
        <v>135</v>
      </c>
      <c r="C850" s="40">
        <v>2</v>
      </c>
      <c r="D850" s="41"/>
      <c r="E850" s="42"/>
      <c r="F850" s="43"/>
      <c r="G850" s="23"/>
    </row>
    <row r="851" spans="1:7" ht="19.95" customHeight="1" x14ac:dyDescent="0.35">
      <c r="B851" s="38" t="s">
        <v>149</v>
      </c>
      <c r="C851" s="40">
        <v>2</v>
      </c>
      <c r="D851" s="41"/>
      <c r="E851" s="42"/>
      <c r="F851" s="43"/>
      <c r="G851" s="23"/>
    </row>
    <row r="852" spans="1:7" s="24" customFormat="1" ht="19.95" customHeight="1" x14ac:dyDescent="0.25">
      <c r="A852" s="17"/>
      <c r="B852" s="38" t="s">
        <v>169</v>
      </c>
      <c r="C852" s="40"/>
      <c r="D852" s="41"/>
      <c r="E852" s="42"/>
      <c r="F852" s="43"/>
      <c r="G852" s="23">
        <v>1</v>
      </c>
    </row>
    <row r="853" spans="1:7" s="24" customFormat="1" ht="19.95" customHeight="1" x14ac:dyDescent="0.25">
      <c r="A853" s="17"/>
      <c r="B853" s="38" t="s">
        <v>170</v>
      </c>
      <c r="C853" s="40"/>
      <c r="D853" s="41"/>
      <c r="E853" s="42"/>
      <c r="F853" s="43"/>
      <c r="G853" s="23">
        <v>1</v>
      </c>
    </row>
    <row r="854" spans="1:7" s="24" customFormat="1" ht="19.95" customHeight="1" x14ac:dyDescent="0.25">
      <c r="A854" s="16"/>
      <c r="B854" s="28"/>
      <c r="C854" s="16"/>
      <c r="D854" s="29"/>
      <c r="E854" s="30"/>
      <c r="F854" s="31"/>
      <c r="G854" s="32"/>
    </row>
    <row r="855" spans="1:7" s="24" customFormat="1" ht="19.95" customHeight="1" x14ac:dyDescent="0.25">
      <c r="A855" s="13">
        <v>1</v>
      </c>
      <c r="B855" s="14" t="s">
        <v>171</v>
      </c>
      <c r="C855" s="7"/>
      <c r="D855" s="8"/>
      <c r="E855" s="9"/>
      <c r="F855" s="10"/>
      <c r="G855" s="11"/>
    </row>
    <row r="856" spans="1:7" s="24" customFormat="1" ht="19.95" customHeight="1" x14ac:dyDescent="0.25">
      <c r="A856" s="16"/>
      <c r="B856" s="14" t="s">
        <v>172</v>
      </c>
      <c r="C856" s="7"/>
      <c r="D856" s="8"/>
      <c r="E856" s="9"/>
      <c r="F856" s="10"/>
      <c r="G856" s="11"/>
    </row>
    <row r="857" spans="1:7" s="33" customFormat="1" ht="19.95" customHeight="1" x14ac:dyDescent="0.25">
      <c r="A857" s="17"/>
      <c r="B857" s="38" t="s">
        <v>157</v>
      </c>
      <c r="C857" s="40"/>
      <c r="D857" s="41"/>
      <c r="E857" s="42"/>
      <c r="F857" s="43"/>
      <c r="G857" s="23">
        <v>2</v>
      </c>
    </row>
    <row r="858" spans="1:7" ht="19.95" customHeight="1" x14ac:dyDescent="0.35">
      <c r="B858" s="38" t="s">
        <v>158</v>
      </c>
      <c r="C858" s="40"/>
      <c r="D858" s="41"/>
      <c r="E858" s="42">
        <v>1</v>
      </c>
      <c r="F858" s="43"/>
      <c r="G858" s="23"/>
    </row>
    <row r="859" spans="1:7" ht="19.95" customHeight="1" x14ac:dyDescent="0.35">
      <c r="A859" s="16"/>
      <c r="B859" s="28"/>
      <c r="C859" s="16"/>
      <c r="D859" s="29"/>
      <c r="E859" s="30"/>
      <c r="F859" s="31"/>
      <c r="G859" s="32"/>
    </row>
    <row r="860" spans="1:7" s="24" customFormat="1" ht="19.95" customHeight="1" x14ac:dyDescent="0.25">
      <c r="A860" s="44"/>
      <c r="B860" s="45" t="s">
        <v>10</v>
      </c>
      <c r="C860" s="46">
        <f>SUM(C821:C857)</f>
        <v>26</v>
      </c>
      <c r="D860" s="46">
        <f t="shared" ref="D860:G860" si="3">SUM(D821:D857)</f>
        <v>3</v>
      </c>
      <c r="E860" s="46">
        <f>SUM(E821:E858)</f>
        <v>1</v>
      </c>
      <c r="F860" s="46">
        <f t="shared" si="3"/>
        <v>0</v>
      </c>
      <c r="G860" s="46">
        <f t="shared" si="3"/>
        <v>4</v>
      </c>
    </row>
    <row r="861" spans="1:7" s="24" customFormat="1" ht="19.95" customHeight="1" x14ac:dyDescent="0.25">
      <c r="A861" s="47"/>
      <c r="B861" s="48"/>
      <c r="C861" s="40"/>
      <c r="D861" s="40"/>
      <c r="E861" s="40"/>
      <c r="F861" s="40"/>
      <c r="G861" s="40"/>
    </row>
    <row r="862" spans="1:7" s="33" customFormat="1" ht="24" customHeight="1" x14ac:dyDescent="0.25">
      <c r="A862" s="75" t="s">
        <v>11</v>
      </c>
      <c r="B862" s="2" t="s">
        <v>1</v>
      </c>
      <c r="C862" s="90" t="s">
        <v>2</v>
      </c>
      <c r="D862" s="90"/>
      <c r="E862" s="90"/>
      <c r="F862" s="90"/>
      <c r="G862" s="90"/>
    </row>
    <row r="863" spans="1:7" s="24" customFormat="1" ht="89.4" x14ac:dyDescent="0.25">
      <c r="A863" s="1"/>
      <c r="B863" s="6" t="s">
        <v>173</v>
      </c>
      <c r="C863" s="7" t="s">
        <v>4</v>
      </c>
      <c r="D863" s="8" t="s">
        <v>5</v>
      </c>
      <c r="E863" s="9" t="s">
        <v>6</v>
      </c>
      <c r="F863" s="10" t="s">
        <v>7</v>
      </c>
      <c r="G863" s="11" t="s">
        <v>8</v>
      </c>
    </row>
    <row r="864" spans="1:7" ht="19.95" customHeight="1" x14ac:dyDescent="0.35">
      <c r="A864" s="13">
        <v>2</v>
      </c>
      <c r="B864" s="14" t="s">
        <v>32</v>
      </c>
      <c r="C864" s="7"/>
      <c r="D864" s="8"/>
      <c r="E864" s="9"/>
      <c r="F864" s="10"/>
      <c r="G864" s="11"/>
    </row>
    <row r="865" spans="1:7" s="24" customFormat="1" ht="19.95" customHeight="1" x14ac:dyDescent="0.25">
      <c r="A865" s="16"/>
      <c r="B865" s="14" t="s">
        <v>175</v>
      </c>
      <c r="C865" s="7"/>
      <c r="D865" s="8"/>
      <c r="E865" s="9"/>
      <c r="F865" s="10"/>
      <c r="G865" s="11"/>
    </row>
    <row r="866" spans="1:7" s="33" customFormat="1" ht="19.95" customHeight="1" x14ac:dyDescent="0.25">
      <c r="A866" s="17"/>
      <c r="B866" s="38" t="s">
        <v>34</v>
      </c>
      <c r="C866" s="40"/>
      <c r="D866" s="41"/>
      <c r="E866" s="42">
        <f>A864*1</f>
        <v>2</v>
      </c>
      <c r="F866" s="43"/>
      <c r="G866" s="23"/>
    </row>
    <row r="867" spans="1:7" ht="19.95" customHeight="1" x14ac:dyDescent="0.35">
      <c r="B867" s="38" t="s">
        <v>35</v>
      </c>
      <c r="C867" s="40"/>
      <c r="D867" s="41">
        <f>E866</f>
        <v>2</v>
      </c>
      <c r="E867" s="42"/>
      <c r="F867" s="43"/>
      <c r="G867" s="23"/>
    </row>
    <row r="868" spans="1:7" ht="19.95" customHeight="1" x14ac:dyDescent="0.35">
      <c r="B868" s="38" t="s">
        <v>36</v>
      </c>
      <c r="C868" s="40">
        <f>E866</f>
        <v>2</v>
      </c>
      <c r="D868" s="41"/>
      <c r="E868" s="42"/>
      <c r="F868" s="43"/>
      <c r="G868" s="23"/>
    </row>
    <row r="869" spans="1:7" s="24" customFormat="1" ht="19.95" customHeight="1" x14ac:dyDescent="0.25">
      <c r="A869" s="16"/>
      <c r="B869" s="28"/>
      <c r="C869" s="16"/>
      <c r="D869" s="29"/>
      <c r="E869" s="30"/>
      <c r="F869" s="31"/>
      <c r="G869" s="32"/>
    </row>
    <row r="870" spans="1:7" ht="19.95" customHeight="1" x14ac:dyDescent="0.35">
      <c r="A870" s="13">
        <v>1</v>
      </c>
      <c r="B870" s="14" t="s">
        <v>176</v>
      </c>
      <c r="C870" s="7"/>
      <c r="D870" s="8"/>
      <c r="E870" s="9"/>
      <c r="F870" s="10"/>
      <c r="G870" s="11"/>
    </row>
    <row r="871" spans="1:7" s="24" customFormat="1" ht="19.95" customHeight="1" x14ac:dyDescent="0.25">
      <c r="A871" s="16"/>
      <c r="B871" s="14" t="s">
        <v>177</v>
      </c>
      <c r="C871" s="7"/>
      <c r="D871" s="8"/>
      <c r="E871" s="9"/>
      <c r="F871" s="10"/>
      <c r="G871" s="11"/>
    </row>
    <row r="872" spans="1:7" s="33" customFormat="1" ht="19.95" customHeight="1" x14ac:dyDescent="0.25">
      <c r="A872" s="17"/>
      <c r="B872" s="38" t="s">
        <v>131</v>
      </c>
      <c r="C872" s="40"/>
      <c r="D872" s="41">
        <v>1</v>
      </c>
      <c r="E872" s="42"/>
      <c r="F872" s="43"/>
      <c r="G872" s="23"/>
    </row>
    <row r="873" spans="1:7" ht="19.95" customHeight="1" x14ac:dyDescent="0.35">
      <c r="B873" s="38" t="s">
        <v>132</v>
      </c>
      <c r="C873" s="40">
        <v>1</v>
      </c>
      <c r="D873" s="41"/>
      <c r="E873" s="42"/>
      <c r="F873" s="43"/>
      <c r="G873" s="23"/>
    </row>
    <row r="874" spans="1:7" ht="19.95" customHeight="1" x14ac:dyDescent="0.35">
      <c r="B874" s="38" t="s">
        <v>93</v>
      </c>
      <c r="C874" s="40">
        <v>1</v>
      </c>
      <c r="D874" s="41"/>
      <c r="E874" s="42"/>
      <c r="F874" s="43"/>
      <c r="G874" s="23"/>
    </row>
    <row r="875" spans="1:7" s="24" customFormat="1" ht="19.95" customHeight="1" x14ac:dyDescent="0.25">
      <c r="A875" s="17"/>
      <c r="B875" s="38" t="s">
        <v>133</v>
      </c>
      <c r="C875" s="40">
        <v>1</v>
      </c>
      <c r="D875" s="41"/>
      <c r="E875" s="42"/>
      <c r="F875" s="43"/>
      <c r="G875" s="23"/>
    </row>
    <row r="876" spans="1:7" s="24" customFormat="1" ht="19.95" customHeight="1" x14ac:dyDescent="0.25">
      <c r="A876" s="16"/>
      <c r="B876" s="28"/>
      <c r="C876" s="16"/>
      <c r="D876" s="29"/>
      <c r="E876" s="30"/>
      <c r="F876" s="31"/>
      <c r="G876" s="32"/>
    </row>
    <row r="877" spans="1:7" s="24" customFormat="1" ht="19.95" customHeight="1" x14ac:dyDescent="0.25">
      <c r="A877" s="13">
        <v>1</v>
      </c>
      <c r="B877" s="14" t="s">
        <v>130</v>
      </c>
      <c r="C877" s="7"/>
      <c r="D877" s="8"/>
      <c r="E877" s="9"/>
      <c r="F877" s="10"/>
      <c r="G877" s="11"/>
    </row>
    <row r="878" spans="1:7" s="24" customFormat="1" ht="19.95" customHeight="1" x14ac:dyDescent="0.25">
      <c r="A878" s="16"/>
      <c r="B878" s="14" t="s">
        <v>413</v>
      </c>
      <c r="C878" s="7"/>
      <c r="D878" s="8"/>
      <c r="E878" s="9"/>
      <c r="F878" s="10"/>
      <c r="G878" s="11"/>
    </row>
    <row r="879" spans="1:7" s="33" customFormat="1" ht="19.95" customHeight="1" x14ac:dyDescent="0.25">
      <c r="A879" s="17"/>
      <c r="B879" s="38" t="s">
        <v>131</v>
      </c>
      <c r="C879" s="40"/>
      <c r="D879" s="41">
        <v>1</v>
      </c>
      <c r="E879" s="42"/>
      <c r="F879" s="43"/>
      <c r="G879" s="23"/>
    </row>
    <row r="880" spans="1:7" ht="19.95" customHeight="1" x14ac:dyDescent="0.35">
      <c r="B880" s="38" t="s">
        <v>132</v>
      </c>
      <c r="C880" s="40">
        <v>1</v>
      </c>
      <c r="D880" s="41"/>
      <c r="E880" s="42"/>
      <c r="F880" s="43"/>
      <c r="G880" s="23"/>
    </row>
    <row r="881" spans="1:7" ht="19.95" customHeight="1" x14ac:dyDescent="0.35">
      <c r="B881" s="38" t="s">
        <v>93</v>
      </c>
      <c r="C881" s="40">
        <v>1</v>
      </c>
      <c r="D881" s="41"/>
      <c r="E881" s="42"/>
      <c r="F881" s="43"/>
      <c r="G881" s="23"/>
    </row>
    <row r="882" spans="1:7" s="24" customFormat="1" ht="19.95" customHeight="1" x14ac:dyDescent="0.25">
      <c r="A882" s="17"/>
      <c r="B882" s="38" t="s">
        <v>133</v>
      </c>
      <c r="C882" s="40">
        <v>1</v>
      </c>
      <c r="D882" s="41"/>
      <c r="E882" s="42"/>
      <c r="F882" s="43"/>
      <c r="G882" s="23"/>
    </row>
    <row r="883" spans="1:7" s="24" customFormat="1" ht="19.95" customHeight="1" x14ac:dyDescent="0.25">
      <c r="A883" s="16"/>
      <c r="B883" s="28"/>
      <c r="C883" s="16"/>
      <c r="D883" s="29"/>
      <c r="E883" s="30"/>
      <c r="F883" s="31"/>
      <c r="G883" s="32"/>
    </row>
    <row r="884" spans="1:7" s="24" customFormat="1" ht="19.95" customHeight="1" x14ac:dyDescent="0.25">
      <c r="A884" s="13">
        <v>1</v>
      </c>
      <c r="B884" s="14" t="s">
        <v>343</v>
      </c>
      <c r="C884" s="7"/>
      <c r="D884" s="8"/>
      <c r="E884" s="9"/>
      <c r="F884" s="10"/>
      <c r="G884" s="11"/>
    </row>
    <row r="885" spans="1:7" s="24" customFormat="1" ht="19.95" customHeight="1" x14ac:dyDescent="0.25">
      <c r="A885" s="16"/>
      <c r="B885" s="14"/>
      <c r="C885" s="7"/>
      <c r="D885" s="8"/>
      <c r="E885" s="9"/>
      <c r="F885" s="10"/>
      <c r="G885" s="11"/>
    </row>
    <row r="886" spans="1:7" s="33" customFormat="1" ht="19.95" customHeight="1" x14ac:dyDescent="0.25">
      <c r="A886" s="17"/>
      <c r="B886" s="38" t="s">
        <v>344</v>
      </c>
      <c r="C886" s="40">
        <v>1</v>
      </c>
      <c r="D886" s="41"/>
      <c r="E886" s="42"/>
      <c r="F886" s="43"/>
      <c r="G886" s="23"/>
    </row>
    <row r="887" spans="1:7" ht="19.95" customHeight="1" x14ac:dyDescent="0.35">
      <c r="A887" s="16"/>
      <c r="B887" s="28"/>
      <c r="C887" s="16"/>
      <c r="D887" s="29"/>
      <c r="E887" s="30"/>
      <c r="F887" s="31"/>
      <c r="G887" s="32"/>
    </row>
    <row r="888" spans="1:7" ht="19.95" customHeight="1" x14ac:dyDescent="0.35">
      <c r="A888" s="13">
        <v>1</v>
      </c>
      <c r="B888" s="14" t="s">
        <v>178</v>
      </c>
      <c r="C888" s="7"/>
      <c r="D888" s="8"/>
      <c r="E888" s="9"/>
      <c r="F888" s="10"/>
      <c r="G888" s="11"/>
    </row>
    <row r="889" spans="1:7" s="24" customFormat="1" ht="19.95" customHeight="1" x14ac:dyDescent="0.25">
      <c r="A889" s="16"/>
      <c r="B889" s="14"/>
      <c r="C889" s="7"/>
      <c r="D889" s="8"/>
      <c r="E889" s="9"/>
      <c r="F889" s="10"/>
      <c r="G889" s="11"/>
    </row>
    <row r="890" spans="1:7" s="33" customFormat="1" ht="19.95" customHeight="1" x14ac:dyDescent="0.25">
      <c r="A890" s="17"/>
      <c r="B890" s="38" t="s">
        <v>179</v>
      </c>
      <c r="C890" s="40">
        <v>1</v>
      </c>
      <c r="D890" s="41"/>
      <c r="E890" s="42"/>
      <c r="F890" s="43"/>
      <c r="G890" s="23"/>
    </row>
    <row r="891" spans="1:7" ht="19.95" customHeight="1" x14ac:dyDescent="0.35">
      <c r="B891" s="38" t="s">
        <v>180</v>
      </c>
      <c r="C891" s="40">
        <v>1</v>
      </c>
      <c r="D891" s="41"/>
      <c r="E891" s="42"/>
      <c r="F891" s="43"/>
      <c r="G891" s="23"/>
    </row>
    <row r="892" spans="1:7" ht="19.95" customHeight="1" x14ac:dyDescent="0.35">
      <c r="B892" s="38" t="s">
        <v>181</v>
      </c>
      <c r="C892" s="40">
        <v>1</v>
      </c>
      <c r="D892" s="41"/>
      <c r="E892" s="42"/>
      <c r="F892" s="43"/>
      <c r="G892" s="23"/>
    </row>
    <row r="893" spans="1:7" s="24" customFormat="1" ht="19.95" customHeight="1" x14ac:dyDescent="0.25">
      <c r="A893" s="17"/>
      <c r="B893" s="38" t="s">
        <v>182</v>
      </c>
      <c r="C893" s="40">
        <v>1</v>
      </c>
      <c r="D893" s="41"/>
      <c r="E893" s="42"/>
      <c r="F893" s="43"/>
      <c r="G893" s="23"/>
    </row>
    <row r="894" spans="1:7" s="24" customFormat="1" ht="19.95" customHeight="1" x14ac:dyDescent="0.25">
      <c r="A894" s="16"/>
      <c r="B894" s="28"/>
      <c r="C894" s="16"/>
      <c r="D894" s="29"/>
      <c r="E894" s="30"/>
      <c r="F894" s="31"/>
      <c r="G894" s="32"/>
    </row>
    <row r="895" spans="1:7" s="24" customFormat="1" ht="19.95" customHeight="1" x14ac:dyDescent="0.25">
      <c r="A895" s="13">
        <v>1</v>
      </c>
      <c r="B895" s="14" t="s">
        <v>183</v>
      </c>
      <c r="C895" s="7"/>
      <c r="D895" s="8"/>
      <c r="E895" s="9"/>
      <c r="F895" s="10"/>
      <c r="G895" s="11"/>
    </row>
    <row r="896" spans="1:7" s="24" customFormat="1" ht="19.95" customHeight="1" x14ac:dyDescent="0.25">
      <c r="A896" s="16"/>
      <c r="B896" s="14" t="s">
        <v>414</v>
      </c>
      <c r="C896" s="7"/>
      <c r="D896" s="8"/>
      <c r="E896" s="9"/>
      <c r="F896" s="10"/>
      <c r="G896" s="11"/>
    </row>
    <row r="897" spans="1:7" s="33" customFormat="1" ht="19.95" customHeight="1" x14ac:dyDescent="0.25">
      <c r="A897" s="17"/>
      <c r="B897" s="38" t="s">
        <v>15</v>
      </c>
      <c r="C897" s="40"/>
      <c r="D897" s="41"/>
      <c r="E897" s="42">
        <v>2</v>
      </c>
      <c r="F897" s="43"/>
      <c r="G897" s="23"/>
    </row>
    <row r="898" spans="1:7" ht="19.95" customHeight="1" x14ac:dyDescent="0.35">
      <c r="B898" s="38" t="s">
        <v>16</v>
      </c>
      <c r="C898" s="19"/>
      <c r="D898" s="20"/>
      <c r="E898" s="21">
        <v>1</v>
      </c>
      <c r="F898" s="22"/>
      <c r="G898" s="23"/>
    </row>
    <row r="899" spans="1:7" ht="19.95" customHeight="1" x14ac:dyDescent="0.35">
      <c r="B899" s="38" t="s">
        <v>72</v>
      </c>
      <c r="C899" s="40"/>
      <c r="D899" s="41"/>
      <c r="E899" s="42">
        <v>2</v>
      </c>
      <c r="F899" s="43"/>
      <c r="G899" s="23"/>
    </row>
    <row r="900" spans="1:7" s="24" customFormat="1" ht="19.95" customHeight="1" x14ac:dyDescent="0.25">
      <c r="A900" s="17"/>
      <c r="B900" s="38" t="s">
        <v>17</v>
      </c>
      <c r="C900" s="40"/>
      <c r="D900" s="41"/>
      <c r="E900" s="42">
        <v>1</v>
      </c>
      <c r="F900" s="43"/>
      <c r="G900" s="23"/>
    </row>
    <row r="901" spans="1:7" s="24" customFormat="1" ht="19.95" customHeight="1" x14ac:dyDescent="0.25">
      <c r="A901" s="17"/>
      <c r="B901" s="38" t="s">
        <v>18</v>
      </c>
      <c r="C901" s="40"/>
      <c r="D901" s="41"/>
      <c r="E901" s="42">
        <v>1</v>
      </c>
      <c r="F901" s="43"/>
      <c r="G901" s="23"/>
    </row>
    <row r="902" spans="1:7" s="24" customFormat="1" ht="19.95" customHeight="1" x14ac:dyDescent="0.25">
      <c r="A902" s="17"/>
      <c r="B902" s="38" t="s">
        <v>19</v>
      </c>
      <c r="C902" s="40"/>
      <c r="D902" s="41">
        <v>1</v>
      </c>
      <c r="E902" s="42"/>
      <c r="F902" s="43"/>
      <c r="G902" s="23"/>
    </row>
    <row r="903" spans="1:7" s="24" customFormat="1" ht="19.95" customHeight="1" x14ac:dyDescent="0.25">
      <c r="A903" s="17"/>
      <c r="B903" s="38" t="s">
        <v>415</v>
      </c>
      <c r="C903" s="40">
        <v>1</v>
      </c>
      <c r="D903" s="41"/>
      <c r="E903" s="42"/>
      <c r="F903" s="43"/>
      <c r="G903" s="23"/>
    </row>
    <row r="904" spans="1:7" s="24" customFormat="1" ht="19.95" customHeight="1" x14ac:dyDescent="0.25">
      <c r="A904" s="17"/>
      <c r="B904" s="38" t="s">
        <v>20</v>
      </c>
      <c r="C904" s="40">
        <v>1</v>
      </c>
      <c r="D904" s="41"/>
      <c r="E904" s="42"/>
      <c r="F904" s="43"/>
      <c r="G904" s="23"/>
    </row>
    <row r="905" spans="1:7" s="24" customFormat="1" ht="19.95" customHeight="1" x14ac:dyDescent="0.25">
      <c r="A905" s="17"/>
      <c r="B905" s="38" t="s">
        <v>21</v>
      </c>
      <c r="C905" s="40">
        <v>1</v>
      </c>
      <c r="D905" s="41"/>
      <c r="E905" s="42"/>
      <c r="F905" s="43"/>
      <c r="G905" s="23"/>
    </row>
    <row r="906" spans="1:7" s="24" customFormat="1" ht="19.95" customHeight="1" x14ac:dyDescent="0.25">
      <c r="A906" s="17"/>
      <c r="B906" s="38" t="s">
        <v>22</v>
      </c>
      <c r="C906" s="40">
        <v>1</v>
      </c>
      <c r="D906" s="41"/>
      <c r="E906" s="42"/>
      <c r="F906" s="43"/>
      <c r="G906" s="23"/>
    </row>
    <row r="907" spans="1:7" s="24" customFormat="1" ht="19.95" customHeight="1" x14ac:dyDescent="0.25">
      <c r="A907" s="17"/>
      <c r="B907" s="79" t="s">
        <v>416</v>
      </c>
      <c r="C907" s="40"/>
      <c r="D907" s="41"/>
      <c r="E907" s="42">
        <v>1</v>
      </c>
      <c r="F907" s="43"/>
      <c r="G907" s="23"/>
    </row>
    <row r="908" spans="1:7" s="24" customFormat="1" ht="19.95" customHeight="1" x14ac:dyDescent="0.25">
      <c r="A908" s="17"/>
      <c r="B908" s="79" t="s">
        <v>417</v>
      </c>
      <c r="C908" s="40"/>
      <c r="D908" s="41"/>
      <c r="E908" s="42"/>
      <c r="F908" s="43">
        <v>1</v>
      </c>
      <c r="G908" s="23"/>
    </row>
    <row r="909" spans="1:7" s="24" customFormat="1" ht="19.95" customHeight="1" x14ac:dyDescent="0.25">
      <c r="A909" s="17"/>
      <c r="B909" s="79" t="s">
        <v>350</v>
      </c>
      <c r="C909" s="40"/>
      <c r="D909" s="41"/>
      <c r="E909" s="42">
        <v>1</v>
      </c>
      <c r="F909" s="43"/>
      <c r="G909" s="23"/>
    </row>
    <row r="910" spans="1:7" s="24" customFormat="1" ht="19.95" customHeight="1" x14ac:dyDescent="0.25">
      <c r="A910" s="17"/>
      <c r="B910" s="38" t="s">
        <v>351</v>
      </c>
      <c r="C910" s="40"/>
      <c r="D910" s="41"/>
      <c r="E910" s="42">
        <v>1</v>
      </c>
      <c r="F910" s="43"/>
      <c r="G910" s="23"/>
    </row>
    <row r="911" spans="1:7" s="24" customFormat="1" ht="19.95" customHeight="1" x14ac:dyDescent="0.25">
      <c r="A911" s="17"/>
      <c r="B911" s="38" t="s">
        <v>353</v>
      </c>
      <c r="C911" s="40">
        <v>1</v>
      </c>
      <c r="D911" s="41"/>
      <c r="E911" s="42"/>
      <c r="F911" s="43"/>
      <c r="G911" s="23"/>
    </row>
    <row r="912" spans="1:7" s="24" customFormat="1" ht="19.95" customHeight="1" x14ac:dyDescent="0.25">
      <c r="A912" s="17"/>
      <c r="B912" s="38" t="s">
        <v>354</v>
      </c>
      <c r="C912" s="40">
        <v>1</v>
      </c>
      <c r="D912" s="41"/>
      <c r="E912" s="42"/>
      <c r="F912" s="43"/>
      <c r="G912" s="23"/>
    </row>
    <row r="913" spans="1:7" s="24" customFormat="1" ht="19.95" customHeight="1" x14ac:dyDescent="0.25">
      <c r="A913" s="17"/>
      <c r="B913" s="79" t="s">
        <v>23</v>
      </c>
      <c r="C913" s="40"/>
      <c r="D913" s="41"/>
      <c r="E913" s="42">
        <v>1</v>
      </c>
      <c r="F913" s="43">
        <v>1</v>
      </c>
      <c r="G913" s="23"/>
    </row>
    <row r="914" spans="1:7" s="24" customFormat="1" ht="19.95" customHeight="1" x14ac:dyDescent="0.25">
      <c r="A914" s="17"/>
      <c r="B914" s="79" t="s">
        <v>24</v>
      </c>
      <c r="C914" s="40"/>
      <c r="D914" s="41"/>
      <c r="E914" s="42">
        <v>1</v>
      </c>
      <c r="F914" s="43"/>
      <c r="G914" s="23"/>
    </row>
    <row r="915" spans="1:7" s="24" customFormat="1" ht="19.95" customHeight="1" x14ac:dyDescent="0.25">
      <c r="A915" s="17"/>
      <c r="B915" s="38" t="s">
        <v>77</v>
      </c>
      <c r="C915" s="40"/>
      <c r="D915" s="41">
        <v>1</v>
      </c>
      <c r="E915" s="42"/>
      <c r="F915" s="43"/>
      <c r="G915" s="23"/>
    </row>
    <row r="916" spans="1:7" s="24" customFormat="1" ht="19.95" customHeight="1" x14ac:dyDescent="0.25">
      <c r="A916" s="17"/>
      <c r="B916" s="38" t="s">
        <v>418</v>
      </c>
      <c r="C916" s="40">
        <v>1</v>
      </c>
      <c r="D916" s="41"/>
      <c r="E916" s="42"/>
      <c r="F916" s="43"/>
      <c r="G916" s="23"/>
    </row>
    <row r="917" spans="1:7" s="24" customFormat="1" ht="19.95" customHeight="1" x14ac:dyDescent="0.25">
      <c r="A917" s="17"/>
      <c r="B917" s="38" t="s">
        <v>78</v>
      </c>
      <c r="C917" s="40">
        <v>1</v>
      </c>
      <c r="D917" s="41"/>
      <c r="E917" s="42"/>
      <c r="F917" s="43"/>
      <c r="G917" s="23"/>
    </row>
    <row r="918" spans="1:7" s="24" customFormat="1" ht="19.95" customHeight="1" x14ac:dyDescent="0.25">
      <c r="A918" s="17"/>
      <c r="B918" s="38" t="s">
        <v>419</v>
      </c>
      <c r="C918" s="40">
        <v>1</v>
      </c>
      <c r="D918" s="41"/>
      <c r="E918" s="42"/>
      <c r="F918" s="43"/>
      <c r="G918" s="23"/>
    </row>
    <row r="919" spans="1:7" s="24" customFormat="1" ht="19.95" customHeight="1" x14ac:dyDescent="0.25">
      <c r="A919" s="17"/>
      <c r="B919" s="38" t="s">
        <v>79</v>
      </c>
      <c r="C919" s="40">
        <v>1</v>
      </c>
      <c r="D919" s="41"/>
      <c r="E919" s="42"/>
      <c r="F919" s="43"/>
      <c r="G919" s="23"/>
    </row>
    <row r="920" spans="1:7" s="24" customFormat="1" ht="19.95" customHeight="1" x14ac:dyDescent="0.25">
      <c r="A920" s="17"/>
      <c r="B920" s="38" t="s">
        <v>82</v>
      </c>
      <c r="C920" s="40"/>
      <c r="D920" s="41"/>
      <c r="E920" s="42">
        <v>2</v>
      </c>
      <c r="F920" s="43"/>
      <c r="G920" s="23"/>
    </row>
    <row r="921" spans="1:7" s="24" customFormat="1" ht="19.95" customHeight="1" x14ac:dyDescent="0.25">
      <c r="A921" s="17"/>
      <c r="B921" s="79" t="s">
        <v>83</v>
      </c>
      <c r="C921" s="40"/>
      <c r="D921" s="41">
        <v>1</v>
      </c>
      <c r="E921" s="42"/>
      <c r="F921" s="43"/>
      <c r="G921" s="23"/>
    </row>
    <row r="922" spans="1:7" s="24" customFormat="1" ht="19.95" customHeight="1" x14ac:dyDescent="0.25">
      <c r="A922" s="17"/>
      <c r="B922" s="79" t="s">
        <v>420</v>
      </c>
      <c r="C922" s="40">
        <v>1</v>
      </c>
      <c r="D922" s="41"/>
      <c r="E922" s="42"/>
      <c r="F922" s="43"/>
      <c r="G922" s="23"/>
    </row>
    <row r="923" spans="1:7" s="24" customFormat="1" ht="19.95" customHeight="1" x14ac:dyDescent="0.25">
      <c r="A923" s="17"/>
      <c r="B923" s="79" t="s">
        <v>84</v>
      </c>
      <c r="C923" s="40">
        <v>1</v>
      </c>
      <c r="D923" s="41"/>
      <c r="E923" s="42"/>
      <c r="F923" s="43"/>
      <c r="G923" s="23"/>
    </row>
    <row r="924" spans="1:7" s="24" customFormat="1" ht="19.95" customHeight="1" x14ac:dyDescent="0.25">
      <c r="A924" s="17"/>
      <c r="B924" s="79" t="s">
        <v>85</v>
      </c>
      <c r="C924" s="40">
        <v>1</v>
      </c>
      <c r="D924" s="41"/>
      <c r="E924" s="42"/>
      <c r="F924" s="43"/>
      <c r="G924" s="23"/>
    </row>
    <row r="925" spans="1:7" s="24" customFormat="1" ht="19.95" customHeight="1" x14ac:dyDescent="0.25">
      <c r="A925" s="17"/>
      <c r="B925" s="38" t="s">
        <v>86</v>
      </c>
      <c r="C925" s="40"/>
      <c r="D925" s="41"/>
      <c r="E925" s="42">
        <v>2</v>
      </c>
      <c r="F925" s="43"/>
      <c r="G925" s="23"/>
    </row>
    <row r="926" spans="1:7" s="24" customFormat="1" ht="19.95" customHeight="1" x14ac:dyDescent="0.25">
      <c r="A926" s="16"/>
      <c r="B926" s="38" t="s">
        <v>184</v>
      </c>
      <c r="C926" s="16"/>
      <c r="D926" s="29"/>
      <c r="E926" s="30"/>
      <c r="F926" s="31"/>
      <c r="G926" s="23">
        <v>1</v>
      </c>
    </row>
    <row r="927" spans="1:7" s="24" customFormat="1" ht="19.95" customHeight="1" x14ac:dyDescent="0.25">
      <c r="A927" s="16"/>
      <c r="B927" s="28"/>
      <c r="C927" s="16"/>
      <c r="D927" s="29"/>
      <c r="E927" s="30"/>
      <c r="F927" s="31"/>
      <c r="G927" s="32"/>
    </row>
    <row r="928" spans="1:7" s="24" customFormat="1" ht="19.95" customHeight="1" x14ac:dyDescent="0.25">
      <c r="A928" s="13">
        <v>1</v>
      </c>
      <c r="B928" s="14" t="s">
        <v>138</v>
      </c>
      <c r="C928" s="7"/>
      <c r="D928" s="8"/>
      <c r="E928" s="9"/>
      <c r="F928" s="10"/>
      <c r="G928" s="11"/>
    </row>
    <row r="929" spans="1:7" s="33" customFormat="1" ht="19.95" customHeight="1" x14ac:dyDescent="0.25">
      <c r="A929" s="16"/>
      <c r="B929" s="14" t="s">
        <v>421</v>
      </c>
      <c r="C929" s="7"/>
      <c r="D929" s="8"/>
      <c r="E929" s="9"/>
      <c r="F929" s="10"/>
      <c r="G929" s="11"/>
    </row>
    <row r="930" spans="1:7" s="33" customFormat="1" ht="19.95" customHeight="1" x14ac:dyDescent="0.25">
      <c r="A930" s="17"/>
      <c r="B930" s="38" t="s">
        <v>350</v>
      </c>
      <c r="C930" s="40">
        <v>1</v>
      </c>
      <c r="D930" s="41"/>
      <c r="E930" s="42"/>
      <c r="F930" s="43"/>
      <c r="G930" s="23"/>
    </row>
    <row r="931" spans="1:7" ht="19.95" customHeight="1" x14ac:dyDescent="0.35">
      <c r="B931" s="38" t="s">
        <v>351</v>
      </c>
      <c r="C931" s="40">
        <v>1</v>
      </c>
      <c r="D931" s="41"/>
      <c r="E931" s="42"/>
      <c r="F931" s="43"/>
      <c r="G931" s="23"/>
    </row>
    <row r="932" spans="1:7" ht="19.95" customHeight="1" x14ac:dyDescent="0.35">
      <c r="B932" s="38" t="s">
        <v>353</v>
      </c>
      <c r="C932" s="40">
        <v>1</v>
      </c>
      <c r="D932" s="41"/>
      <c r="E932" s="42"/>
      <c r="F932" s="43"/>
      <c r="G932" s="23"/>
    </row>
    <row r="933" spans="1:7" s="24" customFormat="1" ht="19.95" customHeight="1" x14ac:dyDescent="0.25">
      <c r="A933" s="17"/>
      <c r="B933" s="38" t="s">
        <v>354</v>
      </c>
      <c r="C933" s="40">
        <v>1</v>
      </c>
      <c r="D933" s="41"/>
      <c r="E933" s="42"/>
      <c r="F933" s="43"/>
      <c r="G933" s="23"/>
    </row>
    <row r="934" spans="1:7" s="24" customFormat="1" ht="19.95" customHeight="1" x14ac:dyDescent="0.25">
      <c r="A934" s="17"/>
      <c r="B934" s="38" t="s">
        <v>140</v>
      </c>
      <c r="C934" s="40">
        <v>1</v>
      </c>
      <c r="D934" s="41"/>
      <c r="E934" s="42"/>
      <c r="F934" s="43"/>
      <c r="G934" s="23"/>
    </row>
    <row r="935" spans="1:7" s="24" customFormat="1" ht="19.95" customHeight="1" x14ac:dyDescent="0.25">
      <c r="A935" s="17"/>
      <c r="B935" s="38" t="s">
        <v>21</v>
      </c>
      <c r="C935" s="40">
        <v>1</v>
      </c>
      <c r="D935" s="41"/>
      <c r="E935" s="42"/>
      <c r="F935" s="43"/>
      <c r="G935" s="23"/>
    </row>
    <row r="936" spans="1:7" s="24" customFormat="1" ht="19.95" customHeight="1" x14ac:dyDescent="0.25">
      <c r="A936" s="17"/>
      <c r="B936" s="38" t="s">
        <v>141</v>
      </c>
      <c r="C936" s="40">
        <v>1</v>
      </c>
      <c r="D936" s="41"/>
      <c r="E936" s="42"/>
      <c r="F936" s="43"/>
      <c r="G936" s="23"/>
    </row>
    <row r="937" spans="1:7" s="24" customFormat="1" ht="19.95" customHeight="1" x14ac:dyDescent="0.25">
      <c r="A937" s="17"/>
      <c r="B937" s="38" t="s">
        <v>19</v>
      </c>
      <c r="C937" s="40"/>
      <c r="D937" s="41">
        <v>1</v>
      </c>
      <c r="E937" s="42"/>
      <c r="F937" s="43"/>
      <c r="G937" s="23"/>
    </row>
    <row r="938" spans="1:7" s="24" customFormat="1" ht="19.95" customHeight="1" x14ac:dyDescent="0.25">
      <c r="A938" s="17"/>
      <c r="B938" s="38" t="s">
        <v>15</v>
      </c>
      <c r="C938" s="40"/>
      <c r="D938" s="41"/>
      <c r="E938" s="42">
        <v>2</v>
      </c>
      <c r="F938" s="43"/>
      <c r="G938" s="23"/>
    </row>
    <row r="939" spans="1:7" s="24" customFormat="1" ht="19.95" customHeight="1" x14ac:dyDescent="0.25">
      <c r="A939" s="17"/>
      <c r="B939" s="79" t="s">
        <v>422</v>
      </c>
      <c r="C939" s="40"/>
      <c r="D939" s="41">
        <v>1</v>
      </c>
      <c r="E939" s="42"/>
      <c r="F939" s="43"/>
      <c r="G939" s="23"/>
    </row>
    <row r="940" spans="1:7" s="24" customFormat="1" ht="19.95" customHeight="1" x14ac:dyDescent="0.25">
      <c r="A940" s="17"/>
      <c r="B940" s="79" t="s">
        <v>378</v>
      </c>
      <c r="C940" s="40">
        <v>1</v>
      </c>
      <c r="D940" s="41"/>
      <c r="E940" s="42"/>
      <c r="F940" s="43"/>
      <c r="G940" s="23"/>
    </row>
    <row r="941" spans="1:7" s="24" customFormat="1" ht="19.95" customHeight="1" x14ac:dyDescent="0.25">
      <c r="A941" s="17"/>
      <c r="B941" s="79" t="s">
        <v>379</v>
      </c>
      <c r="C941" s="40"/>
      <c r="D941" s="41"/>
      <c r="E941" s="42">
        <v>1</v>
      </c>
      <c r="F941" s="43"/>
      <c r="G941" s="23"/>
    </row>
    <row r="942" spans="1:7" s="24" customFormat="1" ht="19.95" customHeight="1" x14ac:dyDescent="0.25">
      <c r="A942" s="17"/>
      <c r="B942" s="38" t="s">
        <v>72</v>
      </c>
      <c r="C942" s="40"/>
      <c r="D942" s="41"/>
      <c r="E942" s="42">
        <v>2</v>
      </c>
      <c r="F942" s="43"/>
      <c r="G942" s="23"/>
    </row>
    <row r="943" spans="1:7" s="24" customFormat="1" ht="19.95" customHeight="1" x14ac:dyDescent="0.25">
      <c r="A943" s="17"/>
      <c r="B943" s="38" t="s">
        <v>17</v>
      </c>
      <c r="C943" s="40"/>
      <c r="D943" s="41"/>
      <c r="E943" s="42">
        <v>1</v>
      </c>
      <c r="F943" s="43"/>
      <c r="G943" s="23"/>
    </row>
    <row r="944" spans="1:7" s="24" customFormat="1" ht="19.95" customHeight="1" x14ac:dyDescent="0.25">
      <c r="A944" s="16"/>
      <c r="B944" s="38" t="s">
        <v>184</v>
      </c>
      <c r="C944" s="16"/>
      <c r="D944" s="29"/>
      <c r="E944" s="30"/>
      <c r="F944" s="31"/>
      <c r="G944" s="23">
        <v>1</v>
      </c>
    </row>
    <row r="945" spans="1:7" s="24" customFormat="1" ht="19.95" customHeight="1" x14ac:dyDescent="0.25">
      <c r="A945" s="16"/>
      <c r="B945" s="38"/>
      <c r="C945" s="16"/>
      <c r="D945" s="29"/>
      <c r="E945" s="30"/>
      <c r="F945" s="31"/>
      <c r="G945" s="23"/>
    </row>
    <row r="946" spans="1:7" s="24" customFormat="1" ht="19.95" customHeight="1" x14ac:dyDescent="0.25">
      <c r="A946" s="13">
        <v>1</v>
      </c>
      <c r="B946" s="14" t="s">
        <v>25</v>
      </c>
      <c r="C946" s="7"/>
      <c r="D946" s="8"/>
      <c r="E946" s="9"/>
      <c r="F946" s="10"/>
      <c r="G946" s="11"/>
    </row>
    <row r="947" spans="1:7" s="33" customFormat="1" ht="19.95" customHeight="1" x14ac:dyDescent="0.25">
      <c r="A947" s="16"/>
      <c r="B947" s="14" t="s">
        <v>185</v>
      </c>
      <c r="C947" s="7"/>
      <c r="D947" s="8"/>
      <c r="E947" s="9"/>
      <c r="F947" s="10"/>
      <c r="G947" s="11"/>
    </row>
    <row r="948" spans="1:7" s="33" customFormat="1" ht="19.95" customHeight="1" x14ac:dyDescent="0.25">
      <c r="A948" s="17"/>
      <c r="B948" s="38" t="s">
        <v>26</v>
      </c>
      <c r="C948" s="40">
        <v>1</v>
      </c>
      <c r="D948" s="41"/>
      <c r="E948" s="42"/>
      <c r="F948" s="43"/>
      <c r="G948" s="23"/>
    </row>
    <row r="949" spans="1:7" ht="19.95" customHeight="1" x14ac:dyDescent="0.35">
      <c r="B949" s="38" t="s">
        <v>27</v>
      </c>
      <c r="C949" s="40">
        <v>1</v>
      </c>
      <c r="D949" s="41"/>
      <c r="E949" s="42"/>
      <c r="F949" s="43"/>
      <c r="G949" s="23"/>
    </row>
    <row r="950" spans="1:7" ht="19.95" customHeight="1" x14ac:dyDescent="0.35">
      <c r="A950" s="16"/>
      <c r="B950" s="28"/>
      <c r="C950" s="16"/>
      <c r="D950" s="29"/>
      <c r="E950" s="30"/>
      <c r="F950" s="31"/>
      <c r="G950" s="32"/>
    </row>
    <row r="951" spans="1:7" s="24" customFormat="1" ht="19.95" customHeight="1" x14ac:dyDescent="0.25">
      <c r="A951" s="13">
        <v>2</v>
      </c>
      <c r="B951" s="14" t="s">
        <v>340</v>
      </c>
      <c r="C951" s="7"/>
      <c r="D951" s="8"/>
      <c r="E951" s="9"/>
      <c r="F951" s="10"/>
      <c r="G951" s="11"/>
    </row>
    <row r="952" spans="1:7" s="24" customFormat="1" ht="19.95" customHeight="1" x14ac:dyDescent="0.25">
      <c r="A952" s="16"/>
      <c r="B952" s="14"/>
      <c r="C952" s="7"/>
      <c r="D952" s="8"/>
      <c r="E952" s="9"/>
      <c r="F952" s="10"/>
      <c r="G952" s="11"/>
    </row>
    <row r="953" spans="1:7" s="33" customFormat="1" ht="19.95" customHeight="1" x14ac:dyDescent="0.25">
      <c r="A953" s="17"/>
      <c r="B953" s="38" t="s">
        <v>43</v>
      </c>
      <c r="C953" s="40">
        <f>A951*1</f>
        <v>2</v>
      </c>
      <c r="D953" s="41"/>
      <c r="E953" s="42"/>
      <c r="F953" s="43"/>
      <c r="G953" s="23"/>
    </row>
    <row r="954" spans="1:7" ht="19.95" customHeight="1" x14ac:dyDescent="0.35">
      <c r="A954" s="16"/>
      <c r="B954" s="28"/>
      <c r="C954" s="16"/>
      <c r="D954" s="29"/>
      <c r="E954" s="30"/>
      <c r="F954" s="31"/>
      <c r="G954" s="32"/>
    </row>
    <row r="955" spans="1:7" ht="19.95" customHeight="1" x14ac:dyDescent="0.35">
      <c r="A955" s="13">
        <v>3</v>
      </c>
      <c r="B955" s="14" t="s">
        <v>186</v>
      </c>
      <c r="C955" s="7"/>
      <c r="D955" s="8"/>
      <c r="E955" s="9"/>
      <c r="F955" s="10"/>
      <c r="G955" s="11"/>
    </row>
    <row r="956" spans="1:7" s="24" customFormat="1" ht="19.95" customHeight="1" x14ac:dyDescent="0.25">
      <c r="A956" s="16"/>
      <c r="B956" s="14" t="s">
        <v>187</v>
      </c>
      <c r="C956" s="7"/>
      <c r="D956" s="8"/>
      <c r="E956" s="9"/>
      <c r="F956" s="10"/>
      <c r="G956" s="11"/>
    </row>
    <row r="957" spans="1:7" s="33" customFormat="1" ht="19.95" customHeight="1" x14ac:dyDescent="0.25">
      <c r="A957" s="17"/>
      <c r="B957" s="38" t="s">
        <v>188</v>
      </c>
      <c r="C957" s="40">
        <f>A955</f>
        <v>3</v>
      </c>
      <c r="D957" s="41"/>
      <c r="E957" s="42"/>
      <c r="F957" s="43"/>
      <c r="G957" s="23"/>
    </row>
    <row r="958" spans="1:7" ht="19.95" customHeight="1" x14ac:dyDescent="0.35">
      <c r="B958" s="38" t="s">
        <v>189</v>
      </c>
      <c r="C958" s="40">
        <f>A955</f>
        <v>3</v>
      </c>
      <c r="D958" s="41"/>
      <c r="E958" s="42"/>
      <c r="F958" s="43"/>
      <c r="G958" s="23"/>
    </row>
    <row r="959" spans="1:7" ht="19.95" customHeight="1" x14ac:dyDescent="0.35">
      <c r="A959" s="16"/>
      <c r="B959" s="28"/>
      <c r="C959" s="16"/>
      <c r="D959" s="29"/>
      <c r="E959" s="30"/>
      <c r="F959" s="31"/>
      <c r="G959" s="32"/>
    </row>
    <row r="960" spans="1:7" s="24" customFormat="1" ht="19.95" customHeight="1" x14ac:dyDescent="0.25">
      <c r="A960" s="13">
        <v>1</v>
      </c>
      <c r="B960" s="14" t="s">
        <v>190</v>
      </c>
      <c r="C960" s="7"/>
      <c r="D960" s="8"/>
      <c r="E960" s="9"/>
      <c r="F960" s="10"/>
      <c r="G960" s="11"/>
    </row>
    <row r="961" spans="1:7" s="24" customFormat="1" ht="19.95" customHeight="1" x14ac:dyDescent="0.25">
      <c r="A961" s="16"/>
      <c r="B961" s="14" t="s">
        <v>185</v>
      </c>
      <c r="C961" s="7"/>
      <c r="D961" s="8"/>
      <c r="E961" s="9"/>
      <c r="F961" s="10"/>
      <c r="G961" s="11"/>
    </row>
    <row r="962" spans="1:7" s="33" customFormat="1" ht="19.95" customHeight="1" x14ac:dyDescent="0.25">
      <c r="A962" s="17"/>
      <c r="B962" s="38" t="s">
        <v>26</v>
      </c>
      <c r="C962" s="40">
        <v>1</v>
      </c>
      <c r="D962" s="41"/>
      <c r="E962" s="42"/>
      <c r="F962" s="43"/>
      <c r="G962" s="23"/>
    </row>
    <row r="963" spans="1:7" ht="19.95" customHeight="1" x14ac:dyDescent="0.35">
      <c r="B963" s="38" t="s">
        <v>27</v>
      </c>
      <c r="C963" s="40">
        <v>1</v>
      </c>
      <c r="D963" s="41"/>
      <c r="E963" s="42"/>
      <c r="F963" s="43"/>
      <c r="G963" s="23"/>
    </row>
    <row r="964" spans="1:7" ht="19.95" customHeight="1" x14ac:dyDescent="0.35">
      <c r="C964" s="40"/>
      <c r="D964" s="41"/>
      <c r="E964" s="42"/>
      <c r="F964" s="43"/>
      <c r="G964" s="23"/>
    </row>
    <row r="965" spans="1:7" ht="19.95" customHeight="1" x14ac:dyDescent="0.35">
      <c r="A965" s="13">
        <v>8</v>
      </c>
      <c r="B965" s="14" t="s">
        <v>423</v>
      </c>
      <c r="C965" s="38"/>
      <c r="D965" s="38"/>
      <c r="E965" s="38"/>
      <c r="F965" s="38"/>
      <c r="G965" s="38"/>
    </row>
    <row r="966" spans="1:7" ht="19.95" customHeight="1" x14ac:dyDescent="0.35">
      <c r="A966" s="59"/>
      <c r="B966" s="38" t="s">
        <v>41</v>
      </c>
      <c r="C966" s="40">
        <f>1*A965</f>
        <v>8</v>
      </c>
      <c r="D966" s="38"/>
      <c r="E966" s="38"/>
      <c r="F966" s="38"/>
      <c r="G966" s="23"/>
    </row>
    <row r="967" spans="1:7" ht="19.95" customHeight="1" x14ac:dyDescent="0.35">
      <c r="A967" s="16"/>
      <c r="B967" s="28"/>
      <c r="C967" s="16"/>
      <c r="D967" s="29"/>
      <c r="E967" s="30"/>
      <c r="F967" s="31"/>
      <c r="G967" s="32"/>
    </row>
    <row r="968" spans="1:7" s="24" customFormat="1" ht="19.95" customHeight="1" x14ac:dyDescent="0.25">
      <c r="A968" s="44"/>
      <c r="B968" s="45" t="s">
        <v>10</v>
      </c>
      <c r="C968" s="46">
        <f>SUM(C864:C966)</f>
        <v>54</v>
      </c>
      <c r="D968" s="46">
        <f>SUM(D864:D963)</f>
        <v>9</v>
      </c>
      <c r="E968" s="46">
        <f>SUM(E864:E963)</f>
        <v>24</v>
      </c>
      <c r="F968" s="46">
        <f>SUM(F864:F963)</f>
        <v>2</v>
      </c>
      <c r="G968" s="46">
        <f>SUM(G864:G963)</f>
        <v>2</v>
      </c>
    </row>
    <row r="969" spans="1:7" s="33" customFormat="1" ht="19.95" customHeight="1" x14ac:dyDescent="0.25">
      <c r="A969" s="16"/>
      <c r="B969" s="28"/>
      <c r="C969" s="49"/>
      <c r="D969" s="49"/>
      <c r="E969" s="50"/>
      <c r="F969" s="49"/>
      <c r="G969" s="49"/>
    </row>
    <row r="970" spans="1:7" s="24" customFormat="1" ht="30" customHeight="1" x14ac:dyDescent="0.25">
      <c r="A970" s="75" t="s">
        <v>11</v>
      </c>
      <c r="B970" s="2" t="s">
        <v>1</v>
      </c>
      <c r="C970" s="90" t="s">
        <v>2</v>
      </c>
      <c r="D970" s="90"/>
      <c r="E970" s="90"/>
      <c r="F970" s="90"/>
      <c r="G970" s="90"/>
    </row>
    <row r="971" spans="1:7" customFormat="1" ht="89.4" x14ac:dyDescent="0.25">
      <c r="A971" s="1"/>
      <c r="B971" s="6" t="s">
        <v>191</v>
      </c>
      <c r="C971" s="7" t="s">
        <v>4</v>
      </c>
      <c r="D971" s="8" t="s">
        <v>5</v>
      </c>
      <c r="E971" s="9" t="s">
        <v>6</v>
      </c>
      <c r="F971" s="10" t="s">
        <v>7</v>
      </c>
      <c r="G971" s="11" t="s">
        <v>8</v>
      </c>
    </row>
    <row r="972" spans="1:7" customFormat="1" ht="19.95" customHeight="1" x14ac:dyDescent="0.25">
      <c r="A972" s="13">
        <v>3</v>
      </c>
      <c r="B972" s="14" t="s">
        <v>192</v>
      </c>
      <c r="C972" s="7"/>
      <c r="D972" s="8"/>
      <c r="E972" s="9"/>
      <c r="F972" s="10"/>
      <c r="G972" s="11"/>
    </row>
    <row r="973" spans="1:7" s="24" customFormat="1" ht="19.95" customHeight="1" x14ac:dyDescent="0.25">
      <c r="A973" s="16"/>
      <c r="B973" s="14"/>
      <c r="C973" s="7"/>
      <c r="D973" s="8"/>
      <c r="E973" s="9"/>
      <c r="F973" s="10"/>
      <c r="G973" s="11"/>
    </row>
    <row r="974" spans="1:7" s="12" customFormat="1" ht="19.95" customHeight="1" x14ac:dyDescent="0.3">
      <c r="A974" s="17"/>
      <c r="B974" s="38" t="s">
        <v>157</v>
      </c>
      <c r="C974" s="40"/>
      <c r="D974" s="41"/>
      <c r="E974" s="42"/>
      <c r="F974" s="43"/>
      <c r="G974" s="23">
        <v>3</v>
      </c>
    </row>
    <row r="975" spans="1:7" ht="19.95" customHeight="1" x14ac:dyDescent="0.35">
      <c r="B975" s="38" t="s">
        <v>158</v>
      </c>
      <c r="C975" s="40"/>
      <c r="D975" s="41"/>
      <c r="E975" s="42">
        <v>3</v>
      </c>
      <c r="F975" s="43"/>
      <c r="G975" s="23"/>
    </row>
    <row r="976" spans="1:7" ht="19.95" customHeight="1" x14ac:dyDescent="0.35">
      <c r="A976" s="16"/>
      <c r="B976" s="28"/>
      <c r="C976" s="16"/>
      <c r="D976" s="29"/>
      <c r="E976" s="30"/>
      <c r="F976" s="31"/>
      <c r="G976" s="32"/>
    </row>
    <row r="977" spans="1:7" s="24" customFormat="1" ht="19.95" customHeight="1" x14ac:dyDescent="0.25">
      <c r="A977" s="13">
        <v>4</v>
      </c>
      <c r="B977" s="14" t="s">
        <v>193</v>
      </c>
      <c r="C977" s="7"/>
      <c r="D977" s="8"/>
      <c r="E977" s="9"/>
      <c r="F977" s="10"/>
      <c r="G977" s="11"/>
    </row>
    <row r="978" spans="1:7" s="24" customFormat="1" ht="19.95" customHeight="1" x14ac:dyDescent="0.25">
      <c r="A978" s="16"/>
      <c r="B978" s="14"/>
      <c r="C978" s="7"/>
      <c r="D978" s="8"/>
      <c r="E978" s="9"/>
      <c r="F978" s="10"/>
      <c r="G978" s="11"/>
    </row>
    <row r="979" spans="1:7" s="33" customFormat="1" ht="19.95" customHeight="1" x14ac:dyDescent="0.25">
      <c r="A979" s="17"/>
      <c r="B979" s="38" t="s">
        <v>157</v>
      </c>
      <c r="C979" s="40"/>
      <c r="D979" s="41"/>
      <c r="E979" s="42"/>
      <c r="F979" s="43"/>
      <c r="G979" s="23">
        <v>4</v>
      </c>
    </row>
    <row r="980" spans="1:7" ht="19.95" customHeight="1" x14ac:dyDescent="0.35">
      <c r="B980" s="38" t="s">
        <v>158</v>
      </c>
      <c r="C980" s="40"/>
      <c r="D980" s="41"/>
      <c r="E980" s="42">
        <v>4</v>
      </c>
      <c r="F980" s="43"/>
      <c r="G980" s="23"/>
    </row>
    <row r="981" spans="1:7" ht="19.95" customHeight="1" x14ac:dyDescent="0.35">
      <c r="A981" s="16"/>
      <c r="B981" s="28"/>
      <c r="C981" s="16"/>
      <c r="D981" s="29"/>
      <c r="E981" s="30"/>
      <c r="F981" s="31"/>
      <c r="G981" s="32"/>
    </row>
    <row r="982" spans="1:7" s="24" customFormat="1" ht="19.95" customHeight="1" x14ac:dyDescent="0.25">
      <c r="A982" s="13">
        <v>2</v>
      </c>
      <c r="B982" s="14" t="s">
        <v>194</v>
      </c>
      <c r="C982" s="7"/>
      <c r="D982" s="8"/>
      <c r="E982" s="9"/>
      <c r="F982" s="10"/>
      <c r="G982" s="11"/>
    </row>
    <row r="983" spans="1:7" s="24" customFormat="1" ht="19.95" customHeight="1" x14ac:dyDescent="0.25">
      <c r="A983" s="16"/>
      <c r="B983" s="14"/>
      <c r="C983" s="7"/>
      <c r="D983" s="8"/>
      <c r="E983" s="9"/>
      <c r="F983" s="10"/>
      <c r="G983" s="11"/>
    </row>
    <row r="984" spans="1:7" s="33" customFormat="1" ht="19.95" customHeight="1" x14ac:dyDescent="0.25">
      <c r="A984" s="17"/>
      <c r="B984" s="38" t="s">
        <v>380</v>
      </c>
      <c r="C984" s="40"/>
      <c r="D984" s="41">
        <f>A982*2</f>
        <v>4</v>
      </c>
      <c r="E984" s="42"/>
      <c r="F984" s="43"/>
      <c r="G984" s="23"/>
    </row>
    <row r="985" spans="1:7" ht="19.95" customHeight="1" x14ac:dyDescent="0.35">
      <c r="B985" s="38" t="s">
        <v>148</v>
      </c>
      <c r="C985" s="40">
        <f>D984</f>
        <v>4</v>
      </c>
      <c r="D985" s="41"/>
      <c r="E985" s="42"/>
      <c r="F985" s="43"/>
      <c r="G985" s="23"/>
    </row>
    <row r="986" spans="1:7" ht="19.95" customHeight="1" x14ac:dyDescent="0.35">
      <c r="B986" s="38" t="s">
        <v>135</v>
      </c>
      <c r="C986" s="40">
        <f>D984</f>
        <v>4</v>
      </c>
      <c r="D986" s="41"/>
      <c r="E986" s="42"/>
      <c r="F986" s="43"/>
      <c r="G986" s="23"/>
    </row>
    <row r="987" spans="1:7" s="24" customFormat="1" ht="19.95" customHeight="1" x14ac:dyDescent="0.25">
      <c r="A987" s="17"/>
      <c r="B987" s="38" t="s">
        <v>195</v>
      </c>
      <c r="C987" s="40"/>
      <c r="D987" s="41"/>
      <c r="E987" s="42"/>
      <c r="F987" s="43"/>
      <c r="G987" s="23">
        <f>A982</f>
        <v>2</v>
      </c>
    </row>
    <row r="988" spans="1:7" s="24" customFormat="1" ht="19.95" customHeight="1" x14ac:dyDescent="0.25">
      <c r="A988" s="16"/>
      <c r="B988" s="28"/>
      <c r="C988" s="16"/>
      <c r="D988" s="29"/>
      <c r="E988" s="30"/>
      <c r="F988" s="31"/>
      <c r="G988" s="32"/>
    </row>
    <row r="989" spans="1:7" s="24" customFormat="1" ht="19.95" customHeight="1" x14ac:dyDescent="0.25">
      <c r="A989" s="13">
        <v>1</v>
      </c>
      <c r="B989" s="14" t="s">
        <v>196</v>
      </c>
      <c r="C989" s="7"/>
      <c r="D989" s="8"/>
      <c r="E989" s="9"/>
      <c r="F989" s="10"/>
      <c r="G989" s="11"/>
    </row>
    <row r="990" spans="1:7" s="24" customFormat="1" ht="19.95" customHeight="1" x14ac:dyDescent="0.25">
      <c r="A990" s="16"/>
      <c r="B990" s="14" t="s">
        <v>197</v>
      </c>
      <c r="C990" s="7"/>
      <c r="D990" s="8"/>
      <c r="E990" s="9"/>
      <c r="F990" s="10"/>
      <c r="G990" s="11"/>
    </row>
    <row r="991" spans="1:7" s="33" customFormat="1" ht="19.95" customHeight="1" x14ac:dyDescent="0.25">
      <c r="A991" s="17"/>
      <c r="B991" s="38" t="s">
        <v>387</v>
      </c>
      <c r="C991" s="40"/>
      <c r="D991" s="41">
        <v>2</v>
      </c>
      <c r="E991" s="42"/>
      <c r="F991" s="43"/>
      <c r="G991" s="23"/>
    </row>
    <row r="992" spans="1:7" ht="19.95" customHeight="1" x14ac:dyDescent="0.35">
      <c r="B992" s="38" t="s">
        <v>148</v>
      </c>
      <c r="C992" s="40">
        <v>2</v>
      </c>
      <c r="D992" s="41"/>
      <c r="E992" s="42"/>
      <c r="F992" s="43"/>
      <c r="G992" s="23"/>
    </row>
    <row r="993" spans="1:7" ht="19.95" customHeight="1" x14ac:dyDescent="0.35">
      <c r="B993" s="38" t="s">
        <v>135</v>
      </c>
      <c r="C993" s="40">
        <v>2</v>
      </c>
      <c r="D993" s="41"/>
      <c r="E993" s="42"/>
      <c r="F993" s="43"/>
      <c r="G993" s="23"/>
    </row>
    <row r="994" spans="1:7" s="24" customFormat="1" ht="19.95" customHeight="1" x14ac:dyDescent="0.25">
      <c r="A994" s="17"/>
      <c r="B994" s="38" t="s">
        <v>198</v>
      </c>
      <c r="C994" s="40">
        <v>2</v>
      </c>
      <c r="D994" s="41"/>
      <c r="E994" s="42"/>
      <c r="F994" s="43"/>
      <c r="G994" s="23"/>
    </row>
    <row r="995" spans="1:7" s="24" customFormat="1" ht="19.95" customHeight="1" x14ac:dyDescent="0.25">
      <c r="A995" s="16"/>
      <c r="B995" s="28"/>
      <c r="C995" s="16"/>
      <c r="D995" s="29"/>
      <c r="E995" s="30"/>
      <c r="F995" s="31"/>
      <c r="G995" s="32"/>
    </row>
    <row r="996" spans="1:7" s="24" customFormat="1" ht="19.95" customHeight="1" x14ac:dyDescent="0.25">
      <c r="A996" s="13">
        <v>1</v>
      </c>
      <c r="B996" s="14" t="s">
        <v>199</v>
      </c>
      <c r="C996" s="7"/>
      <c r="D996" s="8"/>
      <c r="E996" s="9"/>
      <c r="F996" s="10"/>
      <c r="G996" s="11"/>
    </row>
    <row r="997" spans="1:7" s="24" customFormat="1" ht="19.95" customHeight="1" x14ac:dyDescent="0.25">
      <c r="A997" s="16"/>
      <c r="B997" s="14" t="s">
        <v>200</v>
      </c>
      <c r="C997" s="7"/>
      <c r="D997" s="8"/>
      <c r="E997" s="9"/>
      <c r="F997" s="10"/>
      <c r="G997" s="11"/>
    </row>
    <row r="998" spans="1:7" s="33" customFormat="1" ht="19.95" customHeight="1" x14ac:dyDescent="0.25">
      <c r="A998" s="17"/>
      <c r="B998" s="38" t="s">
        <v>135</v>
      </c>
      <c r="C998" s="40">
        <v>2</v>
      </c>
      <c r="D998" s="41"/>
      <c r="E998" s="42"/>
      <c r="F998" s="43"/>
      <c r="G998" s="23"/>
    </row>
    <row r="999" spans="1:7" ht="19.95" customHeight="1" x14ac:dyDescent="0.35">
      <c r="B999" s="38" t="s">
        <v>148</v>
      </c>
      <c r="C999" s="40">
        <v>2</v>
      </c>
      <c r="D999" s="41"/>
      <c r="E999" s="42"/>
      <c r="F999" s="43"/>
      <c r="G999" s="23"/>
    </row>
    <row r="1000" spans="1:7" ht="19.95" customHeight="1" x14ac:dyDescent="0.35">
      <c r="B1000" s="38" t="s">
        <v>201</v>
      </c>
      <c r="C1000" s="40">
        <v>2</v>
      </c>
      <c r="D1000" s="41"/>
      <c r="E1000" s="42"/>
      <c r="F1000" s="43"/>
      <c r="G1000" s="23"/>
    </row>
    <row r="1001" spans="1:7" s="24" customFormat="1" ht="19.95" customHeight="1" x14ac:dyDescent="0.25">
      <c r="A1001" s="17"/>
      <c r="B1001" s="38" t="s">
        <v>387</v>
      </c>
      <c r="C1001" s="40"/>
      <c r="D1001" s="41">
        <v>2</v>
      </c>
      <c r="E1001" s="42"/>
      <c r="F1001" s="43"/>
      <c r="G1001" s="23"/>
    </row>
    <row r="1002" spans="1:7" s="24" customFormat="1" ht="19.95" customHeight="1" x14ac:dyDescent="0.25">
      <c r="A1002" s="16"/>
      <c r="B1002" s="28"/>
      <c r="C1002" s="16"/>
      <c r="D1002" s="29"/>
      <c r="E1002" s="30"/>
      <c r="F1002" s="31"/>
      <c r="G1002" s="32"/>
    </row>
    <row r="1003" spans="1:7" s="24" customFormat="1" ht="19.95" customHeight="1" x14ac:dyDescent="0.25">
      <c r="A1003" s="13">
        <v>2</v>
      </c>
      <c r="B1003" s="14" t="s">
        <v>202</v>
      </c>
      <c r="C1003" s="7"/>
      <c r="D1003" s="8"/>
      <c r="E1003" s="9"/>
      <c r="F1003" s="10"/>
      <c r="G1003" s="11"/>
    </row>
    <row r="1004" spans="1:7" s="24" customFormat="1" ht="19.95" customHeight="1" x14ac:dyDescent="0.25">
      <c r="A1004" s="16"/>
      <c r="B1004" s="14" t="s">
        <v>203</v>
      </c>
      <c r="C1004" s="7"/>
      <c r="D1004" s="8"/>
      <c r="E1004" s="9"/>
      <c r="F1004" s="10"/>
      <c r="G1004" s="11"/>
    </row>
    <row r="1005" spans="1:7" s="33" customFormat="1" ht="19.95" customHeight="1" x14ac:dyDescent="0.25">
      <c r="A1005" s="17"/>
      <c r="B1005" s="38" t="s">
        <v>153</v>
      </c>
      <c r="C1005" s="40">
        <v>2</v>
      </c>
      <c r="D1005" s="41"/>
      <c r="E1005" s="42"/>
      <c r="F1005" s="43"/>
      <c r="G1005" s="23"/>
    </row>
    <row r="1006" spans="1:7" ht="19.95" customHeight="1" x14ac:dyDescent="0.35">
      <c r="A1006" s="16"/>
      <c r="B1006" s="28"/>
      <c r="C1006" s="16"/>
      <c r="D1006" s="29"/>
      <c r="E1006" s="30"/>
      <c r="F1006" s="31"/>
      <c r="G1006" s="32"/>
    </row>
    <row r="1007" spans="1:7" ht="19.95" customHeight="1" x14ac:dyDescent="0.35">
      <c r="A1007" s="13">
        <v>1</v>
      </c>
      <c r="B1007" s="14" t="s">
        <v>204</v>
      </c>
      <c r="C1007" s="7"/>
      <c r="D1007" s="8"/>
      <c r="E1007" s="9"/>
      <c r="F1007" s="10"/>
      <c r="G1007" s="11"/>
    </row>
    <row r="1008" spans="1:7" s="24" customFormat="1" ht="19.95" customHeight="1" x14ac:dyDescent="0.25">
      <c r="A1008" s="16"/>
      <c r="B1008" s="14"/>
      <c r="C1008" s="7"/>
      <c r="D1008" s="8"/>
      <c r="E1008" s="9"/>
      <c r="F1008" s="10"/>
      <c r="G1008" s="11"/>
    </row>
    <row r="1009" spans="1:7" s="33" customFormat="1" ht="19.95" customHeight="1" x14ac:dyDescent="0.25">
      <c r="A1009" s="17"/>
      <c r="B1009" s="38" t="s">
        <v>205</v>
      </c>
      <c r="C1009" s="40">
        <v>1</v>
      </c>
      <c r="D1009" s="41"/>
      <c r="E1009" s="42"/>
      <c r="F1009" s="43"/>
      <c r="G1009" s="23"/>
    </row>
    <row r="1010" spans="1:7" ht="19.95" customHeight="1" x14ac:dyDescent="0.35">
      <c r="B1010" s="38" t="s">
        <v>206</v>
      </c>
      <c r="C1010" s="40">
        <v>1</v>
      </c>
      <c r="D1010" s="41"/>
      <c r="E1010" s="42"/>
      <c r="F1010" s="43"/>
      <c r="G1010" s="23"/>
    </row>
    <row r="1011" spans="1:7" ht="19.95" customHeight="1" x14ac:dyDescent="0.35">
      <c r="B1011" s="38" t="s">
        <v>207</v>
      </c>
      <c r="C1011" s="40">
        <v>1</v>
      </c>
      <c r="D1011" s="41"/>
      <c r="E1011" s="42"/>
      <c r="F1011" s="43"/>
      <c r="G1011" s="23"/>
    </row>
    <row r="1012" spans="1:7" s="24" customFormat="1" ht="19.95" customHeight="1" x14ac:dyDescent="0.25">
      <c r="A1012" s="17"/>
      <c r="B1012" s="38" t="s">
        <v>208</v>
      </c>
      <c r="C1012" s="40">
        <v>1</v>
      </c>
      <c r="D1012" s="41"/>
      <c r="E1012" s="42"/>
      <c r="F1012" s="43"/>
      <c r="G1012" s="23"/>
    </row>
    <row r="1013" spans="1:7" s="24" customFormat="1" ht="19.95" customHeight="1" x14ac:dyDescent="0.25">
      <c r="A1013" s="17"/>
      <c r="B1013" s="38" t="s">
        <v>209</v>
      </c>
      <c r="C1013" s="40">
        <v>1</v>
      </c>
      <c r="D1013" s="41"/>
      <c r="E1013" s="42"/>
      <c r="F1013" s="43"/>
      <c r="G1013" s="23"/>
    </row>
    <row r="1014" spans="1:7" s="24" customFormat="1" ht="19.95" customHeight="1" x14ac:dyDescent="0.25">
      <c r="A1014" s="17"/>
      <c r="B1014" s="38" t="s">
        <v>210</v>
      </c>
      <c r="C1014" s="40"/>
      <c r="D1014" s="41"/>
      <c r="E1014" s="42">
        <v>1</v>
      </c>
      <c r="F1014" s="43"/>
      <c r="G1014" s="23"/>
    </row>
    <row r="1015" spans="1:7" s="24" customFormat="1" ht="19.95" customHeight="1" x14ac:dyDescent="0.25">
      <c r="A1015" s="16"/>
      <c r="B1015" s="28"/>
      <c r="C1015" s="16"/>
      <c r="D1015" s="29"/>
      <c r="E1015" s="30"/>
      <c r="F1015" s="31"/>
      <c r="G1015" s="32"/>
    </row>
    <row r="1016" spans="1:7" s="24" customFormat="1" ht="19.95" customHeight="1" x14ac:dyDescent="0.25">
      <c r="A1016" s="13">
        <v>2</v>
      </c>
      <c r="B1016" s="14" t="s">
        <v>211</v>
      </c>
      <c r="C1016" s="7"/>
      <c r="D1016" s="8"/>
      <c r="E1016" s="9"/>
      <c r="F1016" s="10"/>
      <c r="G1016" s="11"/>
    </row>
    <row r="1017" spans="1:7" s="24" customFormat="1" ht="19.95" customHeight="1" x14ac:dyDescent="0.25">
      <c r="A1017" s="16"/>
      <c r="B1017" s="14"/>
      <c r="C1017" s="7"/>
      <c r="D1017" s="8"/>
      <c r="E1017" s="9"/>
      <c r="F1017" s="10"/>
      <c r="G1017" s="11"/>
    </row>
    <row r="1018" spans="1:7" s="33" customFormat="1" ht="19.95" customHeight="1" x14ac:dyDescent="0.25">
      <c r="A1018" s="17"/>
      <c r="B1018" s="38" t="s">
        <v>134</v>
      </c>
      <c r="C1018" s="40">
        <f>2*A1016</f>
        <v>4</v>
      </c>
      <c r="D1018" s="41"/>
      <c r="E1018" s="42"/>
      <c r="F1018" s="43"/>
      <c r="G1018" s="23"/>
    </row>
    <row r="1019" spans="1:7" ht="19.95" customHeight="1" x14ac:dyDescent="0.35">
      <c r="B1019" s="38" t="s">
        <v>135</v>
      </c>
      <c r="C1019" s="40">
        <f>C1018</f>
        <v>4</v>
      </c>
      <c r="D1019" s="41"/>
      <c r="E1019" s="42"/>
      <c r="F1019" s="43"/>
      <c r="G1019" s="23"/>
    </row>
    <row r="1020" spans="1:7" ht="19.95" customHeight="1" x14ac:dyDescent="0.35">
      <c r="B1020" s="38" t="s">
        <v>212</v>
      </c>
      <c r="C1020" s="40">
        <f>C1019</f>
        <v>4</v>
      </c>
      <c r="D1020" s="41"/>
      <c r="E1020" s="42"/>
      <c r="F1020" s="43"/>
      <c r="G1020" s="23"/>
    </row>
    <row r="1021" spans="1:7" s="24" customFormat="1" ht="19.95" customHeight="1" x14ac:dyDescent="0.25">
      <c r="A1021" s="17"/>
      <c r="B1021" s="38" t="s">
        <v>169</v>
      </c>
      <c r="C1021" s="40"/>
      <c r="D1021" s="41"/>
      <c r="E1021" s="42"/>
      <c r="F1021" s="43"/>
      <c r="G1021" s="23">
        <f>A1016</f>
        <v>2</v>
      </c>
    </row>
    <row r="1022" spans="1:7" s="24" customFormat="1" ht="19.95" customHeight="1" x14ac:dyDescent="0.25">
      <c r="A1022" s="17"/>
      <c r="B1022" s="38" t="s">
        <v>170</v>
      </c>
      <c r="C1022" s="40"/>
      <c r="D1022" s="41"/>
      <c r="E1022" s="42"/>
      <c r="F1022" s="43"/>
      <c r="G1022" s="23">
        <f>A1016</f>
        <v>2</v>
      </c>
    </row>
    <row r="1023" spans="1:7" s="24" customFormat="1" ht="19.95" customHeight="1" x14ac:dyDescent="0.25">
      <c r="A1023" s="16"/>
      <c r="B1023" s="28"/>
      <c r="C1023" s="16"/>
      <c r="D1023" s="29"/>
      <c r="E1023" s="30"/>
      <c r="F1023" s="31"/>
      <c r="G1023" s="32"/>
    </row>
    <row r="1024" spans="1:7" s="24" customFormat="1" ht="19.95" customHeight="1" x14ac:dyDescent="0.25">
      <c r="A1024" s="13">
        <v>1</v>
      </c>
      <c r="B1024" s="14" t="s">
        <v>213</v>
      </c>
      <c r="C1024" s="7"/>
      <c r="D1024" s="8"/>
      <c r="E1024" s="9"/>
      <c r="F1024" s="10"/>
      <c r="G1024" s="11"/>
    </row>
    <row r="1025" spans="1:7" s="24" customFormat="1" ht="19.95" customHeight="1" x14ac:dyDescent="0.25">
      <c r="A1025" s="16"/>
      <c r="B1025" s="14" t="s">
        <v>214</v>
      </c>
      <c r="C1025" s="7"/>
      <c r="D1025" s="8"/>
      <c r="E1025" s="9"/>
      <c r="F1025" s="10"/>
      <c r="G1025" s="11"/>
    </row>
    <row r="1026" spans="1:7" s="33" customFormat="1" ht="19.95" customHeight="1" x14ac:dyDescent="0.25">
      <c r="A1026" s="17"/>
      <c r="B1026" s="38" t="s">
        <v>215</v>
      </c>
      <c r="C1026" s="40"/>
      <c r="D1026" s="41"/>
      <c r="E1026" s="42"/>
      <c r="F1026" s="43"/>
      <c r="G1026" s="23">
        <v>1</v>
      </c>
    </row>
    <row r="1027" spans="1:7" ht="19.95" customHeight="1" x14ac:dyDescent="0.35">
      <c r="B1027" s="38" t="s">
        <v>132</v>
      </c>
      <c r="C1027" s="40">
        <v>1</v>
      </c>
      <c r="D1027" s="41"/>
      <c r="E1027" s="42"/>
      <c r="F1027" s="43"/>
      <c r="G1027" s="23"/>
    </row>
    <row r="1028" spans="1:7" ht="19.95" customHeight="1" x14ac:dyDescent="0.35">
      <c r="B1028" s="38" t="s">
        <v>93</v>
      </c>
      <c r="C1028" s="40">
        <v>1</v>
      </c>
      <c r="D1028" s="41"/>
      <c r="E1028" s="42"/>
      <c r="F1028" s="43"/>
      <c r="G1028" s="23"/>
    </row>
    <row r="1029" spans="1:7" s="24" customFormat="1" ht="19.95" customHeight="1" x14ac:dyDescent="0.25">
      <c r="A1029" s="17"/>
      <c r="B1029" s="38" t="s">
        <v>216</v>
      </c>
      <c r="C1029" s="40">
        <v>1</v>
      </c>
      <c r="D1029" s="41"/>
      <c r="E1029" s="42"/>
      <c r="F1029" s="43"/>
      <c r="G1029" s="23"/>
    </row>
    <row r="1030" spans="1:7" s="24" customFormat="1" ht="19.95" customHeight="1" x14ac:dyDescent="0.25">
      <c r="A1030" s="16"/>
      <c r="B1030" s="28"/>
      <c r="C1030" s="16"/>
      <c r="D1030" s="29"/>
      <c r="E1030" s="30"/>
      <c r="F1030" s="31"/>
      <c r="G1030" s="32"/>
    </row>
    <row r="1031" spans="1:7" s="24" customFormat="1" ht="19.95" customHeight="1" x14ac:dyDescent="0.25">
      <c r="A1031" s="13">
        <v>1</v>
      </c>
      <c r="B1031" s="14" t="s">
        <v>217</v>
      </c>
      <c r="C1031" s="7"/>
      <c r="D1031" s="8"/>
      <c r="E1031" s="9"/>
      <c r="F1031" s="10"/>
      <c r="G1031" s="11"/>
    </row>
    <row r="1032" spans="1:7" s="24" customFormat="1" ht="19.95" customHeight="1" x14ac:dyDescent="0.25">
      <c r="A1032" s="16"/>
      <c r="B1032" s="14" t="s">
        <v>218</v>
      </c>
      <c r="C1032" s="7"/>
      <c r="D1032" s="8"/>
      <c r="E1032" s="9"/>
      <c r="F1032" s="10"/>
      <c r="G1032" s="11"/>
    </row>
    <row r="1033" spans="1:7" s="33" customFormat="1" ht="19.95" customHeight="1" x14ac:dyDescent="0.25">
      <c r="A1033" s="17"/>
      <c r="B1033" s="38" t="s">
        <v>215</v>
      </c>
      <c r="C1033" s="40"/>
      <c r="D1033" s="41"/>
      <c r="E1033" s="42"/>
      <c r="F1033" s="43"/>
      <c r="G1033" s="23">
        <v>1</v>
      </c>
    </row>
    <row r="1034" spans="1:7" ht="19.95" customHeight="1" x14ac:dyDescent="0.35">
      <c r="B1034" s="38" t="s">
        <v>132</v>
      </c>
      <c r="C1034" s="40">
        <v>1</v>
      </c>
      <c r="D1034" s="41"/>
      <c r="E1034" s="42"/>
      <c r="F1034" s="43"/>
      <c r="G1034" s="23"/>
    </row>
    <row r="1035" spans="1:7" ht="19.95" customHeight="1" x14ac:dyDescent="0.35">
      <c r="B1035" s="38" t="s">
        <v>93</v>
      </c>
      <c r="C1035" s="40">
        <v>1</v>
      </c>
      <c r="D1035" s="41"/>
      <c r="E1035" s="42"/>
      <c r="F1035" s="43"/>
      <c r="G1035" s="23"/>
    </row>
    <row r="1036" spans="1:7" s="24" customFormat="1" ht="19.95" customHeight="1" x14ac:dyDescent="0.25">
      <c r="A1036" s="17"/>
      <c r="B1036" s="38" t="s">
        <v>216</v>
      </c>
      <c r="C1036" s="40">
        <v>1</v>
      </c>
      <c r="D1036" s="41"/>
      <c r="E1036" s="42"/>
      <c r="F1036" s="43"/>
      <c r="G1036" s="23"/>
    </row>
    <row r="1037" spans="1:7" s="24" customFormat="1" ht="19.95" customHeight="1" x14ac:dyDescent="0.25">
      <c r="A1037" s="16"/>
      <c r="B1037" s="28"/>
      <c r="C1037" s="16"/>
      <c r="D1037" s="29"/>
      <c r="E1037" s="30"/>
      <c r="F1037" s="31"/>
      <c r="G1037" s="32"/>
    </row>
    <row r="1038" spans="1:7" s="24" customFormat="1" ht="19.95" customHeight="1" x14ac:dyDescent="0.25">
      <c r="A1038" s="44"/>
      <c r="B1038" s="45" t="s">
        <v>10</v>
      </c>
      <c r="C1038" s="46">
        <f>SUM(C974:C1036)</f>
        <v>45</v>
      </c>
      <c r="D1038" s="46">
        <f>SUM(D974:D1036)</f>
        <v>8</v>
      </c>
      <c r="E1038" s="46">
        <f>SUM(E974:E1036)</f>
        <v>8</v>
      </c>
      <c r="F1038" s="46">
        <f>SUM(F974:F1036)</f>
        <v>0</v>
      </c>
      <c r="G1038" s="46">
        <f>SUM(G974:G1036)</f>
        <v>15</v>
      </c>
    </row>
    <row r="1039" spans="1:7" s="24" customFormat="1" ht="19.95" customHeight="1" x14ac:dyDescent="0.25">
      <c r="A1039" s="16"/>
      <c r="B1039" s="28"/>
      <c r="C1039" s="49"/>
      <c r="D1039" s="49"/>
      <c r="E1039" s="50"/>
      <c r="F1039" s="49"/>
      <c r="G1039" s="49"/>
    </row>
    <row r="1040" spans="1:7" s="33" customFormat="1" ht="31.8" customHeight="1" x14ac:dyDescent="0.25">
      <c r="A1040" s="75" t="s">
        <v>11</v>
      </c>
      <c r="B1040" s="2" t="s">
        <v>1</v>
      </c>
      <c r="C1040" s="90" t="s">
        <v>2</v>
      </c>
      <c r="D1040" s="90"/>
      <c r="E1040" s="90"/>
      <c r="F1040" s="90"/>
      <c r="G1040" s="90"/>
    </row>
    <row r="1041" spans="1:7" s="24" customFormat="1" ht="117.6" customHeight="1" x14ac:dyDescent="0.25">
      <c r="A1041" s="1"/>
      <c r="B1041" s="6" t="s">
        <v>219</v>
      </c>
      <c r="C1041" s="7" t="s">
        <v>4</v>
      </c>
      <c r="D1041" s="8" t="s">
        <v>5</v>
      </c>
      <c r="E1041" s="9" t="s">
        <v>6</v>
      </c>
      <c r="F1041" s="10" t="s">
        <v>7</v>
      </c>
      <c r="G1041" s="11" t="s">
        <v>8</v>
      </c>
    </row>
    <row r="1042" spans="1:7" customFormat="1" ht="19.95" customHeight="1" x14ac:dyDescent="0.25">
      <c r="A1042" s="13">
        <v>1</v>
      </c>
      <c r="B1042" s="14" t="s">
        <v>25</v>
      </c>
      <c r="C1042" s="7"/>
      <c r="D1042" s="8"/>
      <c r="E1042" s="9"/>
      <c r="F1042" s="10"/>
      <c r="G1042" s="11"/>
    </row>
    <row r="1043" spans="1:7" s="24" customFormat="1" ht="19.95" customHeight="1" x14ac:dyDescent="0.25">
      <c r="A1043" s="16"/>
      <c r="B1043" s="14" t="s">
        <v>220</v>
      </c>
      <c r="C1043" s="7"/>
      <c r="D1043" s="8"/>
      <c r="E1043" s="9"/>
      <c r="F1043" s="10"/>
      <c r="G1043" s="11"/>
    </row>
    <row r="1044" spans="1:7" s="12" customFormat="1" ht="19.95" customHeight="1" x14ac:dyDescent="0.3">
      <c r="A1044" s="17"/>
      <c r="B1044" s="38" t="s">
        <v>26</v>
      </c>
      <c r="C1044" s="40">
        <v>1</v>
      </c>
      <c r="D1044" s="41"/>
      <c r="E1044" s="42"/>
      <c r="F1044" s="43"/>
      <c r="G1044" s="23"/>
    </row>
    <row r="1045" spans="1:7" ht="19.95" customHeight="1" x14ac:dyDescent="0.35">
      <c r="B1045" s="38" t="s">
        <v>27</v>
      </c>
      <c r="C1045" s="40">
        <v>1</v>
      </c>
      <c r="D1045" s="41"/>
      <c r="E1045" s="42"/>
      <c r="F1045" s="43"/>
      <c r="G1045" s="23"/>
    </row>
    <row r="1046" spans="1:7" ht="19.95" customHeight="1" x14ac:dyDescent="0.35">
      <c r="C1046" s="40"/>
      <c r="D1046" s="41"/>
      <c r="E1046" s="42"/>
      <c r="F1046" s="43"/>
      <c r="G1046" s="23"/>
    </row>
    <row r="1047" spans="1:7" ht="19.95" customHeight="1" x14ac:dyDescent="0.35">
      <c r="A1047" s="13">
        <v>1</v>
      </c>
      <c r="B1047" s="14" t="s">
        <v>29</v>
      </c>
      <c r="C1047" s="7"/>
      <c r="D1047" s="8"/>
      <c r="E1047" s="9"/>
      <c r="F1047" s="10"/>
      <c r="G1047" s="11"/>
    </row>
    <row r="1048" spans="1:7" s="24" customFormat="1" ht="19.95" customHeight="1" x14ac:dyDescent="0.25">
      <c r="A1048" s="16"/>
      <c r="B1048" s="14" t="s">
        <v>221</v>
      </c>
      <c r="C1048" s="7"/>
      <c r="D1048" s="8"/>
      <c r="E1048" s="9"/>
      <c r="F1048" s="10"/>
      <c r="G1048" s="11"/>
    </row>
    <row r="1049" spans="1:7" s="24" customFormat="1" ht="19.95" customHeight="1" x14ac:dyDescent="0.25">
      <c r="A1049" s="17"/>
      <c r="B1049" s="38" t="s">
        <v>26</v>
      </c>
      <c r="C1049" s="40">
        <v>1</v>
      </c>
      <c r="D1049" s="41"/>
      <c r="E1049" s="42"/>
      <c r="F1049" s="43"/>
      <c r="G1049" s="23"/>
    </row>
    <row r="1050" spans="1:7" s="33" customFormat="1" ht="19.95" customHeight="1" x14ac:dyDescent="0.25">
      <c r="A1050" s="17"/>
      <c r="B1050" s="38" t="s">
        <v>27</v>
      </c>
      <c r="C1050" s="40">
        <v>1</v>
      </c>
      <c r="D1050" s="41"/>
      <c r="E1050" s="42"/>
      <c r="F1050" s="43"/>
      <c r="G1050" s="23"/>
    </row>
    <row r="1051" spans="1:7" ht="19.95" customHeight="1" x14ac:dyDescent="0.35">
      <c r="A1051" s="16"/>
      <c r="B1051" s="28"/>
      <c r="C1051" s="16"/>
      <c r="D1051" s="29"/>
      <c r="E1051" s="30"/>
      <c r="F1051" s="31"/>
      <c r="G1051" s="32"/>
    </row>
    <row r="1052" spans="1:7" ht="19.95" customHeight="1" x14ac:dyDescent="0.35">
      <c r="A1052" s="13">
        <v>1</v>
      </c>
      <c r="B1052" s="14" t="s">
        <v>340</v>
      </c>
      <c r="C1052" s="7"/>
      <c r="D1052" s="8"/>
      <c r="E1052" s="9"/>
      <c r="F1052" s="10"/>
      <c r="G1052" s="11"/>
    </row>
    <row r="1053" spans="1:7" s="24" customFormat="1" ht="19.95" customHeight="1" x14ac:dyDescent="0.25">
      <c r="A1053" s="16"/>
      <c r="B1053" s="14"/>
      <c r="C1053" s="7"/>
      <c r="D1053" s="8"/>
      <c r="E1053" s="9"/>
      <c r="F1053" s="10"/>
      <c r="G1053" s="11"/>
    </row>
    <row r="1054" spans="1:7" s="33" customFormat="1" ht="19.95" customHeight="1" x14ac:dyDescent="0.25">
      <c r="A1054" s="17"/>
      <c r="B1054" s="38" t="s">
        <v>43</v>
      </c>
      <c r="C1054" s="40">
        <v>1</v>
      </c>
      <c r="D1054" s="41"/>
      <c r="E1054" s="42"/>
      <c r="F1054" s="43"/>
      <c r="G1054" s="23"/>
    </row>
    <row r="1055" spans="1:7" ht="19.95" customHeight="1" x14ac:dyDescent="0.35">
      <c r="A1055" s="16"/>
      <c r="B1055" s="28"/>
      <c r="C1055" s="16"/>
      <c r="D1055" s="29"/>
      <c r="E1055" s="30"/>
      <c r="F1055" s="31"/>
      <c r="G1055" s="32"/>
    </row>
    <row r="1056" spans="1:7" ht="19.95" customHeight="1" x14ac:dyDescent="0.35">
      <c r="A1056" s="13">
        <v>1</v>
      </c>
      <c r="B1056" s="14" t="s">
        <v>32</v>
      </c>
      <c r="C1056" s="7"/>
      <c r="D1056" s="8"/>
      <c r="E1056" s="9"/>
      <c r="F1056" s="10"/>
      <c r="G1056" s="11"/>
    </row>
    <row r="1057" spans="1:7" s="24" customFormat="1" ht="19.95" customHeight="1" x14ac:dyDescent="0.25">
      <c r="A1057" s="16"/>
      <c r="B1057" s="14" t="s">
        <v>222</v>
      </c>
      <c r="C1057" s="7"/>
      <c r="D1057" s="8"/>
      <c r="E1057" s="9"/>
      <c r="F1057" s="10"/>
      <c r="G1057" s="11"/>
    </row>
    <row r="1058" spans="1:7" s="24" customFormat="1" ht="19.95" customHeight="1" x14ac:dyDescent="0.25">
      <c r="A1058" s="17"/>
      <c r="B1058" s="38" t="s">
        <v>34</v>
      </c>
      <c r="C1058" s="40"/>
      <c r="D1058" s="41"/>
      <c r="E1058" s="42">
        <v>1</v>
      </c>
      <c r="F1058" s="43"/>
      <c r="G1058" s="23"/>
    </row>
    <row r="1059" spans="1:7" s="24" customFormat="1" ht="19.95" customHeight="1" x14ac:dyDescent="0.25">
      <c r="A1059" s="17"/>
      <c r="B1059" s="38" t="s">
        <v>35</v>
      </c>
      <c r="C1059" s="40"/>
      <c r="D1059" s="41">
        <v>1</v>
      </c>
      <c r="E1059" s="42"/>
      <c r="F1059" s="43"/>
      <c r="G1059" s="23"/>
    </row>
    <row r="1060" spans="1:7" s="33" customFormat="1" ht="19.95" customHeight="1" x14ac:dyDescent="0.25">
      <c r="A1060" s="17"/>
      <c r="B1060" s="38" t="s">
        <v>36</v>
      </c>
      <c r="C1060" s="40">
        <v>1</v>
      </c>
      <c r="D1060" s="41"/>
      <c r="E1060" s="42"/>
      <c r="F1060" s="43"/>
      <c r="G1060" s="23"/>
    </row>
    <row r="1061" spans="1:7" ht="19.95" customHeight="1" x14ac:dyDescent="0.35">
      <c r="A1061" s="16"/>
      <c r="B1061" s="28"/>
      <c r="C1061" s="16"/>
      <c r="D1061" s="29"/>
      <c r="E1061" s="30"/>
      <c r="F1061" s="31"/>
      <c r="G1061" s="32"/>
    </row>
    <row r="1062" spans="1:7" ht="19.95" customHeight="1" x14ac:dyDescent="0.35">
      <c r="A1062" s="13">
        <v>1</v>
      </c>
      <c r="B1062" s="14" t="s">
        <v>424</v>
      </c>
      <c r="C1062" s="7"/>
      <c r="D1062" s="8"/>
      <c r="E1062" s="9"/>
      <c r="F1062" s="10"/>
      <c r="G1062" s="11"/>
    </row>
    <row r="1063" spans="1:7" s="24" customFormat="1" ht="19.95" customHeight="1" x14ac:dyDescent="0.25">
      <c r="A1063" s="16"/>
      <c r="B1063" s="14"/>
      <c r="C1063" s="7"/>
      <c r="D1063" s="8"/>
      <c r="E1063" s="9"/>
      <c r="F1063" s="10"/>
      <c r="G1063" s="11"/>
    </row>
    <row r="1064" spans="1:7" s="24" customFormat="1" ht="19.95" customHeight="1" x14ac:dyDescent="0.25">
      <c r="A1064" s="17"/>
      <c r="B1064" s="38" t="s">
        <v>134</v>
      </c>
      <c r="C1064" s="40">
        <v>2</v>
      </c>
      <c r="D1064" s="41"/>
      <c r="E1064" s="42"/>
      <c r="F1064" s="43"/>
      <c r="G1064" s="23"/>
    </row>
    <row r="1065" spans="1:7" s="24" customFormat="1" ht="19.95" customHeight="1" x14ac:dyDescent="0.25">
      <c r="A1065" s="17"/>
      <c r="B1065" s="38" t="s">
        <v>135</v>
      </c>
      <c r="C1065" s="40">
        <v>2</v>
      </c>
      <c r="D1065" s="41"/>
      <c r="E1065" s="42"/>
      <c r="F1065" s="43"/>
      <c r="G1065" s="23"/>
    </row>
    <row r="1066" spans="1:7" s="24" customFormat="1" ht="19.95" customHeight="1" x14ac:dyDescent="0.25">
      <c r="A1066" s="17"/>
      <c r="B1066" s="38" t="s">
        <v>212</v>
      </c>
      <c r="C1066" s="40">
        <v>2</v>
      </c>
      <c r="D1066" s="41"/>
      <c r="E1066" s="42"/>
      <c r="F1066" s="43"/>
      <c r="G1066" s="23"/>
    </row>
    <row r="1067" spans="1:7" s="24" customFormat="1" ht="19.95" customHeight="1" x14ac:dyDescent="0.25">
      <c r="A1067" s="17"/>
      <c r="B1067" s="38" t="s">
        <v>169</v>
      </c>
      <c r="C1067" s="40"/>
      <c r="D1067" s="41"/>
      <c r="E1067" s="42"/>
      <c r="F1067" s="43"/>
      <c r="G1067" s="23">
        <v>1</v>
      </c>
    </row>
    <row r="1068" spans="1:7" s="33" customFormat="1" ht="19.95" customHeight="1" x14ac:dyDescent="0.25">
      <c r="A1068" s="17"/>
      <c r="B1068" s="38" t="s">
        <v>170</v>
      </c>
      <c r="C1068" s="40"/>
      <c r="D1068" s="41"/>
      <c r="E1068" s="42"/>
      <c r="F1068" s="43"/>
      <c r="G1068" s="23">
        <v>1</v>
      </c>
    </row>
    <row r="1069" spans="1:7" ht="19.95" customHeight="1" x14ac:dyDescent="0.35">
      <c r="A1069" s="16"/>
      <c r="B1069" s="28"/>
      <c r="C1069" s="16"/>
      <c r="D1069" s="29"/>
      <c r="E1069" s="30"/>
      <c r="F1069" s="31"/>
      <c r="G1069" s="32"/>
    </row>
    <row r="1070" spans="1:7" ht="19.95" customHeight="1" x14ac:dyDescent="0.35">
      <c r="A1070" s="13">
        <v>1</v>
      </c>
      <c r="B1070" s="14" t="s">
        <v>425</v>
      </c>
      <c r="C1070" s="7"/>
      <c r="D1070" s="8"/>
      <c r="E1070" s="9"/>
      <c r="F1070" s="10"/>
      <c r="G1070" s="11"/>
    </row>
    <row r="1071" spans="1:7" s="24" customFormat="1" ht="19.95" customHeight="1" x14ac:dyDescent="0.25">
      <c r="A1071" s="16"/>
      <c r="B1071" s="14" t="s">
        <v>426</v>
      </c>
      <c r="C1071" s="7"/>
      <c r="D1071" s="8"/>
      <c r="E1071" s="9"/>
      <c r="F1071" s="10"/>
      <c r="G1071" s="11"/>
    </row>
    <row r="1072" spans="1:7" s="33" customFormat="1" ht="19.95" customHeight="1" x14ac:dyDescent="0.25">
      <c r="A1072" s="17"/>
      <c r="B1072" s="38" t="s">
        <v>46</v>
      </c>
      <c r="C1072" s="40">
        <v>1</v>
      </c>
      <c r="D1072" s="41"/>
      <c r="E1072" s="42"/>
      <c r="F1072" s="43"/>
      <c r="G1072" s="23"/>
    </row>
    <row r="1073" spans="1:7" ht="19.95" customHeight="1" x14ac:dyDescent="0.35">
      <c r="A1073" s="16"/>
      <c r="B1073" s="28"/>
      <c r="C1073" s="16"/>
      <c r="D1073" s="29"/>
      <c r="E1073" s="30"/>
      <c r="F1073" s="31"/>
      <c r="G1073" s="32"/>
    </row>
    <row r="1074" spans="1:7" ht="19.95" customHeight="1" x14ac:dyDescent="0.35">
      <c r="A1074" s="13">
        <v>1</v>
      </c>
      <c r="B1074" s="14" t="s">
        <v>343</v>
      </c>
      <c r="C1074" s="7"/>
      <c r="D1074" s="8"/>
      <c r="E1074" s="9"/>
      <c r="F1074" s="10"/>
      <c r="G1074" s="11"/>
    </row>
    <row r="1075" spans="1:7" s="24" customFormat="1" ht="19.95" customHeight="1" x14ac:dyDescent="0.25">
      <c r="A1075" s="16"/>
      <c r="B1075" s="14"/>
      <c r="C1075" s="7"/>
      <c r="D1075" s="8"/>
      <c r="E1075" s="9"/>
      <c r="F1075" s="10"/>
      <c r="G1075" s="11"/>
    </row>
    <row r="1076" spans="1:7" s="33" customFormat="1" ht="19.95" customHeight="1" x14ac:dyDescent="0.25">
      <c r="A1076" s="17"/>
      <c r="B1076" s="38" t="s">
        <v>344</v>
      </c>
      <c r="C1076" s="40">
        <v>1</v>
      </c>
      <c r="D1076" s="41"/>
      <c r="E1076" s="42"/>
      <c r="F1076" s="43"/>
      <c r="G1076" s="23"/>
    </row>
    <row r="1077" spans="1:7" ht="19.95" customHeight="1" x14ac:dyDescent="0.35">
      <c r="A1077" s="16"/>
      <c r="B1077" s="28"/>
      <c r="C1077" s="16"/>
      <c r="D1077" s="29"/>
      <c r="E1077" s="30"/>
      <c r="F1077" s="31"/>
      <c r="G1077" s="32"/>
    </row>
    <row r="1078" spans="1:7" ht="19.95" customHeight="1" x14ac:dyDescent="0.35">
      <c r="A1078" s="13">
        <v>1</v>
      </c>
      <c r="B1078" s="14" t="s">
        <v>167</v>
      </c>
      <c r="C1078" s="7"/>
      <c r="D1078" s="8"/>
      <c r="E1078" s="9"/>
      <c r="F1078" s="10"/>
      <c r="G1078" s="11"/>
    </row>
    <row r="1079" spans="1:7" s="24" customFormat="1" ht="19.95" customHeight="1" x14ac:dyDescent="0.25">
      <c r="A1079" s="16"/>
      <c r="B1079" s="14"/>
      <c r="C1079" s="7"/>
      <c r="D1079" s="8"/>
      <c r="E1079" s="9"/>
      <c r="F1079" s="10"/>
      <c r="G1079" s="11"/>
    </row>
    <row r="1080" spans="1:7" s="33" customFormat="1" ht="19.95" customHeight="1" x14ac:dyDescent="0.25">
      <c r="A1080" s="17"/>
      <c r="B1080" s="38" t="s">
        <v>168</v>
      </c>
      <c r="C1080" s="40">
        <v>2</v>
      </c>
      <c r="D1080" s="41"/>
      <c r="E1080" s="42"/>
      <c r="F1080" s="43"/>
      <c r="G1080" s="23"/>
    </row>
    <row r="1081" spans="1:7" ht="19.95" customHeight="1" x14ac:dyDescent="0.35">
      <c r="B1081" s="38" t="s">
        <v>135</v>
      </c>
      <c r="C1081" s="40">
        <v>2</v>
      </c>
      <c r="D1081" s="41"/>
      <c r="E1081" s="42"/>
      <c r="F1081" s="43"/>
      <c r="G1081" s="23"/>
    </row>
    <row r="1082" spans="1:7" ht="19.95" customHeight="1" x14ac:dyDescent="0.35">
      <c r="B1082" s="38" t="s">
        <v>149</v>
      </c>
      <c r="C1082" s="40">
        <v>2</v>
      </c>
      <c r="D1082" s="41"/>
      <c r="E1082" s="42"/>
      <c r="F1082" s="43"/>
      <c r="G1082" s="23"/>
    </row>
    <row r="1083" spans="1:7" s="24" customFormat="1" ht="19.95" customHeight="1" x14ac:dyDescent="0.25">
      <c r="A1083" s="17"/>
      <c r="B1083" s="38" t="s">
        <v>169</v>
      </c>
      <c r="C1083" s="40"/>
      <c r="D1083" s="41"/>
      <c r="E1083" s="42"/>
      <c r="F1083" s="43"/>
      <c r="G1083" s="23">
        <v>1</v>
      </c>
    </row>
    <row r="1084" spans="1:7" s="24" customFormat="1" ht="19.95" customHeight="1" x14ac:dyDescent="0.25">
      <c r="A1084" s="17"/>
      <c r="B1084" s="38" t="s">
        <v>170</v>
      </c>
      <c r="C1084" s="40"/>
      <c r="D1084" s="41"/>
      <c r="E1084" s="42"/>
      <c r="F1084" s="43"/>
      <c r="G1084" s="23">
        <v>1</v>
      </c>
    </row>
    <row r="1085" spans="1:7" s="24" customFormat="1" ht="19.95" customHeight="1" x14ac:dyDescent="0.25">
      <c r="A1085" s="16"/>
      <c r="B1085" s="28"/>
      <c r="C1085" s="16"/>
      <c r="D1085" s="29"/>
      <c r="E1085" s="30"/>
      <c r="F1085" s="31"/>
      <c r="G1085" s="32"/>
    </row>
    <row r="1086" spans="1:7" s="24" customFormat="1" ht="19.95" customHeight="1" x14ac:dyDescent="0.25">
      <c r="A1086" s="13">
        <v>26</v>
      </c>
      <c r="B1086" s="14" t="s">
        <v>427</v>
      </c>
      <c r="C1086" s="91"/>
      <c r="D1086" s="92"/>
      <c r="E1086" s="93"/>
      <c r="F1086" s="89"/>
      <c r="G1086" s="94"/>
    </row>
    <row r="1087" spans="1:7" s="24" customFormat="1" ht="19.95" customHeight="1" x14ac:dyDescent="0.35">
      <c r="A1087" s="59"/>
      <c r="B1087" s="66"/>
      <c r="C1087" s="91"/>
      <c r="D1087" s="92"/>
      <c r="E1087" s="93"/>
      <c r="F1087" s="89"/>
      <c r="G1087" s="94"/>
    </row>
    <row r="1088" spans="1:7" s="33" customFormat="1" ht="19.95" customHeight="1" x14ac:dyDescent="0.25">
      <c r="A1088" s="59"/>
      <c r="B1088" s="38" t="s">
        <v>223</v>
      </c>
      <c r="C1088" s="40"/>
      <c r="D1088" s="41">
        <f>1*A1086</f>
        <v>26</v>
      </c>
      <c r="E1088" s="42"/>
      <c r="F1088" s="43"/>
      <c r="G1088" s="23"/>
    </row>
    <row r="1089" spans="1:7" ht="19.95" customHeight="1" x14ac:dyDescent="0.35">
      <c r="A1089" s="59"/>
      <c r="B1089" s="38" t="s">
        <v>224</v>
      </c>
      <c r="C1089" s="40">
        <f>1*A1086</f>
        <v>26</v>
      </c>
      <c r="D1089" s="41"/>
      <c r="E1089" s="42"/>
      <c r="F1089" s="43"/>
      <c r="G1089" s="23"/>
    </row>
    <row r="1090" spans="1:7" ht="19.95" customHeight="1" x14ac:dyDescent="0.35">
      <c r="A1090" s="59"/>
      <c r="B1090" s="38" t="s">
        <v>225</v>
      </c>
      <c r="C1090" s="40">
        <f>1*A1086</f>
        <v>26</v>
      </c>
      <c r="D1090" s="41"/>
      <c r="E1090" s="42"/>
      <c r="F1090" s="43"/>
      <c r="G1090" s="23"/>
    </row>
    <row r="1091" spans="1:7" ht="19.95" customHeight="1" x14ac:dyDescent="0.35">
      <c r="A1091" s="59"/>
      <c r="B1091" s="38" t="s">
        <v>226</v>
      </c>
      <c r="C1091" s="40">
        <f>A1086</f>
        <v>26</v>
      </c>
      <c r="D1091" s="41"/>
      <c r="E1091" s="42"/>
      <c r="F1091" s="43"/>
      <c r="G1091" s="23"/>
    </row>
    <row r="1092" spans="1:7" s="24" customFormat="1" ht="19.95" customHeight="1" x14ac:dyDescent="0.25">
      <c r="A1092" s="59"/>
      <c r="B1092" s="38" t="s">
        <v>428</v>
      </c>
      <c r="C1092" s="40"/>
      <c r="D1092" s="41"/>
      <c r="E1092" s="42">
        <v>8</v>
      </c>
      <c r="F1092" s="43"/>
      <c r="G1092" s="23"/>
    </row>
    <row r="1093" spans="1:7" s="24" customFormat="1" ht="19.95" customHeight="1" x14ac:dyDescent="0.25">
      <c r="A1093" s="59"/>
      <c r="B1093" s="38" t="s">
        <v>429</v>
      </c>
      <c r="C1093" s="40"/>
      <c r="D1093" s="41"/>
      <c r="E1093" s="42">
        <v>8</v>
      </c>
      <c r="F1093" s="43"/>
      <c r="G1093" s="23"/>
    </row>
    <row r="1094" spans="1:7" s="24" customFormat="1" ht="19.95" customHeight="1" x14ac:dyDescent="0.25">
      <c r="A1094" s="59"/>
      <c r="B1094" s="38" t="s">
        <v>430</v>
      </c>
      <c r="C1094" s="40">
        <f>A1086</f>
        <v>26</v>
      </c>
      <c r="D1094" s="41"/>
      <c r="E1094" s="42"/>
      <c r="F1094" s="43"/>
      <c r="G1094" s="23"/>
    </row>
    <row r="1095" spans="1:7" s="24" customFormat="1" ht="19.95" customHeight="1" x14ac:dyDescent="0.25">
      <c r="A1095" s="59"/>
      <c r="B1095" s="38"/>
      <c r="C1095" s="40"/>
      <c r="D1095" s="41"/>
      <c r="E1095" s="42"/>
      <c r="F1095" s="43"/>
      <c r="G1095" s="23"/>
    </row>
    <row r="1096" spans="1:7" s="24" customFormat="1" ht="19.95" customHeight="1" x14ac:dyDescent="0.25">
      <c r="A1096" s="13">
        <v>1</v>
      </c>
      <c r="B1096" s="14" t="s">
        <v>343</v>
      </c>
      <c r="C1096" s="7"/>
      <c r="D1096" s="8"/>
      <c r="E1096" s="9"/>
      <c r="F1096" s="10"/>
      <c r="G1096" s="11"/>
    </row>
    <row r="1097" spans="1:7" s="24" customFormat="1" ht="19.95" customHeight="1" x14ac:dyDescent="0.25">
      <c r="A1097" s="16"/>
      <c r="B1097" s="14"/>
      <c r="C1097" s="7"/>
      <c r="D1097" s="8"/>
      <c r="E1097" s="9"/>
      <c r="F1097" s="10"/>
      <c r="G1097" s="11"/>
    </row>
    <row r="1098" spans="1:7" s="33" customFormat="1" ht="19.95" customHeight="1" x14ac:dyDescent="0.25">
      <c r="A1098" s="17"/>
      <c r="B1098" s="38" t="s">
        <v>344</v>
      </c>
      <c r="C1098" s="40">
        <v>1</v>
      </c>
      <c r="D1098" s="41"/>
      <c r="E1098" s="42"/>
      <c r="F1098" s="43"/>
      <c r="G1098" s="23"/>
    </row>
    <row r="1099" spans="1:7" ht="19.95" customHeight="1" x14ac:dyDescent="0.35">
      <c r="A1099" s="16"/>
      <c r="B1099" s="28"/>
      <c r="C1099" s="16"/>
      <c r="D1099" s="29"/>
      <c r="E1099" s="30"/>
      <c r="F1099" s="31"/>
      <c r="G1099" s="32"/>
    </row>
    <row r="1100" spans="1:7" s="24" customFormat="1" ht="19.95" customHeight="1" x14ac:dyDescent="0.25">
      <c r="A1100" s="13">
        <v>1</v>
      </c>
      <c r="B1100" s="14" t="s">
        <v>431</v>
      </c>
      <c r="C1100" s="38"/>
      <c r="D1100" s="38"/>
      <c r="E1100" s="38"/>
      <c r="F1100" s="38"/>
      <c r="G1100" s="38"/>
    </row>
    <row r="1101" spans="1:7" s="33" customFormat="1" ht="19.95" customHeight="1" x14ac:dyDescent="0.25">
      <c r="A1101" s="59"/>
      <c r="B1101" s="38" t="s">
        <v>41</v>
      </c>
      <c r="C1101" s="40">
        <v>1</v>
      </c>
      <c r="D1101" s="38"/>
      <c r="E1101" s="38"/>
      <c r="F1101" s="38"/>
      <c r="G1101" s="23"/>
    </row>
    <row r="1102" spans="1:7" ht="19.95" customHeight="1" x14ac:dyDescent="0.35">
      <c r="A1102" s="16"/>
      <c r="B1102" s="28"/>
      <c r="C1102" s="16"/>
      <c r="D1102" s="29"/>
      <c r="E1102" s="30"/>
      <c r="F1102" s="31"/>
      <c r="G1102" s="32"/>
    </row>
    <row r="1103" spans="1:7" ht="19.95" customHeight="1" x14ac:dyDescent="0.35">
      <c r="A1103" s="44"/>
      <c r="B1103" s="45" t="s">
        <v>10</v>
      </c>
      <c r="C1103" s="46">
        <f>SUM(C1042:C1102)</f>
        <v>126</v>
      </c>
      <c r="D1103" s="46">
        <f>SUM(D1042:D1099)</f>
        <v>27</v>
      </c>
      <c r="E1103" s="46">
        <f>SUM(E1042:E1099)</f>
        <v>17</v>
      </c>
      <c r="F1103" s="46">
        <f>SUM(F1042:F1099)</f>
        <v>0</v>
      </c>
      <c r="G1103" s="46">
        <f>SUM(G1042:G1099)</f>
        <v>4</v>
      </c>
    </row>
    <row r="1104" spans="1:7" s="24" customFormat="1" ht="19.95" customHeight="1" x14ac:dyDescent="0.25">
      <c r="A1104" s="16"/>
      <c r="B1104" s="28"/>
      <c r="C1104" s="49"/>
      <c r="D1104" s="49"/>
      <c r="E1104" s="50"/>
      <c r="F1104" s="49"/>
      <c r="G1104" s="49"/>
    </row>
    <row r="1105" spans="1:7" s="24" customFormat="1" ht="34.799999999999997" customHeight="1" x14ac:dyDescent="0.25">
      <c r="A1105" s="75" t="s">
        <v>11</v>
      </c>
      <c r="B1105" s="2" t="s">
        <v>1</v>
      </c>
      <c r="C1105" s="90" t="s">
        <v>2</v>
      </c>
      <c r="D1105" s="90"/>
      <c r="E1105" s="90"/>
      <c r="F1105" s="90"/>
      <c r="G1105" s="90"/>
    </row>
    <row r="1106" spans="1:7" s="33" customFormat="1" ht="89.4" x14ac:dyDescent="0.25">
      <c r="A1106" s="1"/>
      <c r="B1106" s="6" t="s">
        <v>227</v>
      </c>
      <c r="C1106" s="7" t="s">
        <v>4</v>
      </c>
      <c r="D1106" s="8" t="s">
        <v>5</v>
      </c>
      <c r="E1106" s="9" t="s">
        <v>6</v>
      </c>
      <c r="F1106" s="10" t="s">
        <v>7</v>
      </c>
      <c r="G1106" s="11" t="s">
        <v>8</v>
      </c>
    </row>
    <row r="1107" spans="1:7" s="24" customFormat="1" ht="19.95" customHeight="1" x14ac:dyDescent="0.25">
      <c r="A1107" s="13">
        <v>1</v>
      </c>
      <c r="B1107" s="14" t="s">
        <v>343</v>
      </c>
      <c r="C1107" s="7"/>
      <c r="D1107" s="8"/>
      <c r="E1107" s="9"/>
      <c r="F1107" s="10"/>
      <c r="G1107" s="11"/>
    </row>
    <row r="1108" spans="1:7" customFormat="1" ht="19.95" customHeight="1" x14ac:dyDescent="0.25">
      <c r="A1108" s="16"/>
      <c r="B1108" s="14"/>
      <c r="C1108" s="7"/>
      <c r="D1108" s="8"/>
      <c r="E1108" s="9"/>
      <c r="F1108" s="10"/>
      <c r="G1108" s="11"/>
    </row>
    <row r="1109" spans="1:7" s="24" customFormat="1" ht="19.95" customHeight="1" x14ac:dyDescent="0.25">
      <c r="A1109" s="17"/>
      <c r="B1109" s="38" t="s">
        <v>46</v>
      </c>
      <c r="C1109" s="40">
        <v>1</v>
      </c>
      <c r="D1109" s="41"/>
      <c r="E1109" s="42"/>
      <c r="F1109" s="43"/>
      <c r="G1109" s="23"/>
    </row>
    <row r="1110" spans="1:7" s="12" customFormat="1" ht="19.95" customHeight="1" x14ac:dyDescent="0.3">
      <c r="A1110" s="16"/>
      <c r="B1110" s="28"/>
      <c r="C1110" s="16"/>
      <c r="D1110" s="29"/>
      <c r="E1110" s="30"/>
      <c r="F1110" s="31"/>
      <c r="G1110" s="32"/>
    </row>
    <row r="1111" spans="1:7" ht="19.95" customHeight="1" x14ac:dyDescent="0.35">
      <c r="A1111" s="13">
        <v>2</v>
      </c>
      <c r="B1111" s="14" t="s">
        <v>343</v>
      </c>
      <c r="C1111" s="7"/>
      <c r="D1111" s="8"/>
      <c r="E1111" s="9"/>
      <c r="F1111" s="10"/>
      <c r="G1111" s="11"/>
    </row>
    <row r="1112" spans="1:7" ht="19.95" customHeight="1" x14ac:dyDescent="0.35">
      <c r="A1112" s="16"/>
      <c r="B1112" s="14"/>
      <c r="C1112" s="7"/>
      <c r="D1112" s="8"/>
      <c r="E1112" s="9"/>
      <c r="F1112" s="10"/>
      <c r="G1112" s="11"/>
    </row>
    <row r="1113" spans="1:7" s="24" customFormat="1" ht="19.95" customHeight="1" x14ac:dyDescent="0.25">
      <c r="A1113" s="17"/>
      <c r="B1113" s="38" t="s">
        <v>344</v>
      </c>
      <c r="C1113" s="40">
        <v>1</v>
      </c>
      <c r="D1113" s="41"/>
      <c r="E1113" s="42"/>
      <c r="F1113" s="43"/>
      <c r="G1113" s="23"/>
    </row>
    <row r="1114" spans="1:7" s="33" customFormat="1" ht="19.95" customHeight="1" x14ac:dyDescent="0.25">
      <c r="A1114" s="16"/>
      <c r="B1114" s="28"/>
      <c r="C1114" s="16"/>
      <c r="D1114" s="29"/>
      <c r="E1114" s="30"/>
      <c r="F1114" s="31"/>
      <c r="G1114" s="32"/>
    </row>
    <row r="1115" spans="1:7" ht="19.95" customHeight="1" x14ac:dyDescent="0.35">
      <c r="A1115" s="13">
        <v>26</v>
      </c>
      <c r="B1115" s="14" t="s">
        <v>427</v>
      </c>
      <c r="C1115" s="91"/>
      <c r="D1115" s="92"/>
      <c r="E1115" s="93"/>
      <c r="F1115" s="89"/>
      <c r="G1115" s="94"/>
    </row>
    <row r="1116" spans="1:7" ht="19.95" customHeight="1" x14ac:dyDescent="0.35">
      <c r="A1116" s="59"/>
      <c r="B1116" s="66"/>
      <c r="C1116" s="91"/>
      <c r="D1116" s="92"/>
      <c r="E1116" s="93"/>
      <c r="F1116" s="89"/>
      <c r="G1116" s="94"/>
    </row>
    <row r="1117" spans="1:7" s="24" customFormat="1" ht="19.95" customHeight="1" x14ac:dyDescent="0.25">
      <c r="A1117" s="59"/>
      <c r="B1117" s="38" t="s">
        <v>223</v>
      </c>
      <c r="C1117" s="40"/>
      <c r="D1117" s="20">
        <f>A1115*1</f>
        <v>26</v>
      </c>
      <c r="E1117" s="42"/>
      <c r="F1117" s="43"/>
      <c r="G1117" s="23"/>
    </row>
    <row r="1118" spans="1:7" s="33" customFormat="1" ht="19.95" customHeight="1" x14ac:dyDescent="0.25">
      <c r="A1118" s="59"/>
      <c r="B1118" s="38" t="s">
        <v>224</v>
      </c>
      <c r="C1118" s="40">
        <f>D1117</f>
        <v>26</v>
      </c>
      <c r="D1118" s="41"/>
      <c r="E1118" s="42"/>
      <c r="F1118" s="43"/>
      <c r="G1118" s="23"/>
    </row>
    <row r="1119" spans="1:7" ht="19.95" customHeight="1" x14ac:dyDescent="0.35">
      <c r="A1119" s="59"/>
      <c r="B1119" s="38" t="s">
        <v>225</v>
      </c>
      <c r="C1119" s="40">
        <f>D1117</f>
        <v>26</v>
      </c>
      <c r="D1119" s="41"/>
      <c r="E1119" s="42"/>
      <c r="F1119" s="43"/>
      <c r="G1119" s="23"/>
    </row>
    <row r="1120" spans="1:7" ht="19.95" customHeight="1" x14ac:dyDescent="0.35">
      <c r="A1120" s="59"/>
      <c r="B1120" s="38" t="s">
        <v>226</v>
      </c>
      <c r="C1120" s="40">
        <f>A1115</f>
        <v>26</v>
      </c>
      <c r="D1120" s="41"/>
      <c r="E1120" s="42"/>
      <c r="F1120" s="43"/>
      <c r="G1120" s="23"/>
    </row>
    <row r="1121" spans="1:7" ht="19.95" customHeight="1" x14ac:dyDescent="0.35">
      <c r="A1121" s="59"/>
      <c r="B1121" s="38" t="s">
        <v>428</v>
      </c>
      <c r="C1121" s="40"/>
      <c r="D1121" s="41"/>
      <c r="E1121" s="42">
        <v>8</v>
      </c>
      <c r="F1121" s="43"/>
      <c r="G1121" s="23"/>
    </row>
    <row r="1122" spans="1:7" s="24" customFormat="1" ht="19.95" customHeight="1" x14ac:dyDescent="0.25">
      <c r="A1122" s="59"/>
      <c r="B1122" s="38" t="s">
        <v>429</v>
      </c>
      <c r="C1122" s="40"/>
      <c r="D1122" s="41"/>
      <c r="E1122" s="42">
        <v>8</v>
      </c>
      <c r="F1122" s="43"/>
      <c r="G1122" s="23"/>
    </row>
    <row r="1123" spans="1:7" s="24" customFormat="1" ht="19.95" customHeight="1" x14ac:dyDescent="0.25">
      <c r="A1123" s="59"/>
      <c r="B1123" s="38"/>
      <c r="C1123" s="40"/>
      <c r="D1123" s="41"/>
      <c r="E1123" s="42"/>
      <c r="F1123" s="43"/>
      <c r="G1123" s="23"/>
    </row>
    <row r="1124" spans="1:7" s="24" customFormat="1" ht="19.95" customHeight="1" x14ac:dyDescent="0.25">
      <c r="A1124" s="44"/>
      <c r="B1124" s="45" t="s">
        <v>10</v>
      </c>
      <c r="C1124" s="46">
        <f>SUM(C1107:C1122)</f>
        <v>80</v>
      </c>
      <c r="D1124" s="46">
        <f>SUM(D1107:D1122)</f>
        <v>26</v>
      </c>
      <c r="E1124" s="46">
        <f>SUM(E1107:E1122)</f>
        <v>16</v>
      </c>
      <c r="F1124" s="46">
        <f>SUM(F1107:F1122)</f>
        <v>0</v>
      </c>
      <c r="G1124" s="46">
        <f>SUM(G1107:G1122)</f>
        <v>0</v>
      </c>
    </row>
    <row r="1125" spans="1:7" s="24" customFormat="1" x14ac:dyDescent="0.25">
      <c r="A1125" s="49"/>
      <c r="B1125" s="67"/>
      <c r="C1125" s="49"/>
      <c r="D1125" s="49"/>
      <c r="E1125" s="50"/>
      <c r="F1125" s="49"/>
      <c r="G1125" s="49"/>
    </row>
    <row r="1126" spans="1:7" s="24" customFormat="1" ht="25.2" customHeight="1" x14ac:dyDescent="0.25">
      <c r="A1126" s="75" t="s">
        <v>11</v>
      </c>
      <c r="B1126" s="2" t="s">
        <v>1</v>
      </c>
      <c r="C1126" s="90" t="s">
        <v>2</v>
      </c>
      <c r="D1126" s="90"/>
      <c r="E1126" s="90"/>
      <c r="F1126" s="90"/>
      <c r="G1126" s="90"/>
    </row>
    <row r="1127" spans="1:7" s="24" customFormat="1" ht="89.4" x14ac:dyDescent="0.25">
      <c r="A1127" s="1"/>
      <c r="B1127" s="6" t="s">
        <v>228</v>
      </c>
      <c r="C1127" s="7" t="s">
        <v>4</v>
      </c>
      <c r="D1127" s="8" t="s">
        <v>5</v>
      </c>
      <c r="E1127" s="9" t="s">
        <v>6</v>
      </c>
      <c r="F1127" s="10" t="s">
        <v>7</v>
      </c>
      <c r="G1127" s="11" t="s">
        <v>8</v>
      </c>
    </row>
    <row r="1128" spans="1:7" s="24" customFormat="1" ht="19.95" customHeight="1" x14ac:dyDescent="0.25">
      <c r="A1128" s="13">
        <v>1</v>
      </c>
      <c r="B1128" s="14" t="s">
        <v>229</v>
      </c>
      <c r="C1128" s="7"/>
      <c r="D1128" s="8"/>
      <c r="E1128" s="9"/>
      <c r="F1128" s="10"/>
      <c r="G1128" s="11"/>
    </row>
    <row r="1129" spans="1:7" customFormat="1" ht="19.95" customHeight="1" x14ac:dyDescent="0.25">
      <c r="A1129" s="16"/>
      <c r="B1129" s="14"/>
      <c r="C1129" s="7"/>
      <c r="D1129" s="8"/>
      <c r="E1129" s="9"/>
      <c r="F1129" s="10"/>
      <c r="G1129" s="11"/>
    </row>
    <row r="1130" spans="1:7" s="24" customFormat="1" ht="19.95" customHeight="1" x14ac:dyDescent="0.25">
      <c r="A1130" s="17"/>
      <c r="B1130" s="38" t="s">
        <v>247</v>
      </c>
      <c r="C1130" s="40"/>
      <c r="D1130" s="41"/>
      <c r="E1130" s="42"/>
      <c r="F1130" s="43"/>
      <c r="G1130" s="23">
        <v>50</v>
      </c>
    </row>
    <row r="1131" spans="1:7" s="12" customFormat="1" ht="19.95" customHeight="1" x14ac:dyDescent="0.3">
      <c r="A1131" s="16"/>
      <c r="B1131" s="28"/>
      <c r="C1131" s="16"/>
      <c r="D1131" s="29"/>
      <c r="E1131" s="30"/>
      <c r="F1131" s="31"/>
      <c r="G1131" s="32"/>
    </row>
    <row r="1132" spans="1:7" ht="19.95" customHeight="1" x14ac:dyDescent="0.35">
      <c r="A1132" s="13">
        <v>1</v>
      </c>
      <c r="B1132" s="14" t="s">
        <v>230</v>
      </c>
      <c r="C1132" s="7"/>
      <c r="D1132" s="8"/>
      <c r="E1132" s="9"/>
      <c r="F1132" s="10"/>
      <c r="G1132" s="11"/>
    </row>
    <row r="1133" spans="1:7" ht="19.95" customHeight="1" x14ac:dyDescent="0.35">
      <c r="A1133" s="16"/>
      <c r="B1133" s="14"/>
      <c r="C1133" s="7"/>
      <c r="D1133" s="8"/>
      <c r="E1133" s="9"/>
      <c r="F1133" s="10"/>
      <c r="G1133" s="11"/>
    </row>
    <row r="1134" spans="1:7" s="24" customFormat="1" ht="19.95" customHeight="1" x14ac:dyDescent="0.25">
      <c r="A1134" s="17"/>
      <c r="B1134" s="38" t="s">
        <v>247</v>
      </c>
      <c r="C1134" s="40"/>
      <c r="D1134" s="41"/>
      <c r="E1134" s="42"/>
      <c r="F1134" s="43"/>
      <c r="G1134" s="23">
        <v>10</v>
      </c>
    </row>
    <row r="1135" spans="1:7" s="33" customFormat="1" ht="19.95" customHeight="1" x14ac:dyDescent="0.25">
      <c r="A1135" s="16"/>
      <c r="B1135" s="28"/>
      <c r="C1135" s="16"/>
      <c r="D1135" s="29"/>
      <c r="E1135" s="30"/>
      <c r="F1135" s="31"/>
      <c r="G1135" s="32"/>
    </row>
    <row r="1136" spans="1:7" ht="19.95" customHeight="1" x14ac:dyDescent="0.35">
      <c r="A1136" s="68">
        <v>402</v>
      </c>
      <c r="B1136" s="14" t="s">
        <v>231</v>
      </c>
      <c r="C1136" s="7"/>
      <c r="D1136" s="8"/>
      <c r="E1136" s="9"/>
      <c r="F1136" s="10"/>
      <c r="G1136" s="11"/>
    </row>
    <row r="1137" spans="1:7" ht="19.95" customHeight="1" x14ac:dyDescent="0.35">
      <c r="A1137" s="16"/>
      <c r="B1137" s="14"/>
      <c r="C1137" s="7"/>
      <c r="D1137" s="8"/>
      <c r="E1137" s="9"/>
      <c r="F1137" s="10"/>
      <c r="G1137" s="11"/>
    </row>
    <row r="1138" spans="1:7" s="24" customFormat="1" ht="19.95" customHeight="1" x14ac:dyDescent="0.25">
      <c r="A1138" s="17"/>
      <c r="B1138" s="38" t="s">
        <v>242</v>
      </c>
      <c r="C1138" s="40"/>
      <c r="D1138" s="41"/>
      <c r="E1138" s="42"/>
      <c r="F1138" s="43"/>
      <c r="G1138" s="23">
        <f>7*402</f>
        <v>2814</v>
      </c>
    </row>
    <row r="1139" spans="1:7" s="33" customFormat="1" ht="19.95" customHeight="1" x14ac:dyDescent="0.25">
      <c r="A1139" s="16"/>
      <c r="B1139" s="28"/>
      <c r="C1139" s="16"/>
      <c r="D1139" s="29"/>
      <c r="E1139" s="30"/>
      <c r="F1139" s="31"/>
      <c r="G1139" s="32"/>
    </row>
    <row r="1140" spans="1:7" ht="19.95" customHeight="1" x14ac:dyDescent="0.35">
      <c r="A1140" s="13">
        <v>2</v>
      </c>
      <c r="B1140" s="14" t="s">
        <v>232</v>
      </c>
      <c r="C1140" s="7"/>
      <c r="D1140" s="8"/>
      <c r="E1140" s="9"/>
      <c r="F1140" s="10"/>
      <c r="G1140" s="11"/>
    </row>
    <row r="1141" spans="1:7" ht="19.95" customHeight="1" x14ac:dyDescent="0.35">
      <c r="A1141" s="16"/>
      <c r="B1141" s="14"/>
      <c r="C1141" s="7"/>
      <c r="D1141" s="8"/>
      <c r="E1141" s="9"/>
      <c r="F1141" s="10"/>
      <c r="G1141" s="11"/>
    </row>
    <row r="1142" spans="1:7" s="24" customFormat="1" ht="19.95" customHeight="1" x14ac:dyDescent="0.25">
      <c r="A1142" s="17"/>
      <c r="B1142" s="38" t="s">
        <v>247</v>
      </c>
      <c r="C1142" s="40"/>
      <c r="D1142" s="41"/>
      <c r="E1142" s="42"/>
      <c r="F1142" s="43"/>
      <c r="G1142" s="23">
        <v>75</v>
      </c>
    </row>
    <row r="1143" spans="1:7" s="33" customFormat="1" ht="19.95" customHeight="1" x14ac:dyDescent="0.25">
      <c r="A1143" s="16"/>
      <c r="B1143" s="28"/>
      <c r="C1143" s="16"/>
      <c r="D1143" s="29"/>
      <c r="E1143" s="30"/>
      <c r="F1143" s="31"/>
      <c r="G1143" s="32"/>
    </row>
    <row r="1144" spans="1:7" ht="19.95" customHeight="1" x14ac:dyDescent="0.35">
      <c r="A1144" s="13">
        <v>1</v>
      </c>
      <c r="B1144" s="14" t="s">
        <v>233</v>
      </c>
      <c r="C1144" s="7"/>
      <c r="D1144" s="8"/>
      <c r="E1144" s="9"/>
      <c r="F1144" s="10"/>
      <c r="G1144" s="11"/>
    </row>
    <row r="1145" spans="1:7" ht="19.95" customHeight="1" x14ac:dyDescent="0.35">
      <c r="A1145" s="16"/>
      <c r="B1145" s="14"/>
      <c r="C1145" s="7"/>
      <c r="D1145" s="8"/>
      <c r="E1145" s="9"/>
      <c r="F1145" s="10"/>
      <c r="G1145" s="11"/>
    </row>
    <row r="1146" spans="1:7" s="24" customFormat="1" ht="19.95" customHeight="1" x14ac:dyDescent="0.25">
      <c r="A1146" s="17"/>
      <c r="B1146" s="38" t="s">
        <v>247</v>
      </c>
      <c r="C1146" s="40"/>
      <c r="D1146" s="41"/>
      <c r="E1146" s="42"/>
      <c r="F1146" s="43"/>
      <c r="G1146" s="23">
        <v>20</v>
      </c>
    </row>
    <row r="1147" spans="1:7" s="33" customFormat="1" ht="19.95" customHeight="1" x14ac:dyDescent="0.25">
      <c r="A1147" s="16"/>
      <c r="B1147" s="28"/>
      <c r="C1147" s="16"/>
      <c r="D1147" s="29"/>
      <c r="E1147" s="30"/>
      <c r="F1147" s="31"/>
      <c r="G1147" s="32"/>
    </row>
    <row r="1148" spans="1:7" ht="19.95" customHeight="1" x14ac:dyDescent="0.35">
      <c r="A1148" s="13">
        <v>1</v>
      </c>
      <c r="B1148" s="14" t="s">
        <v>245</v>
      </c>
      <c r="C1148" s="7"/>
      <c r="D1148" s="8"/>
      <c r="E1148" s="9"/>
      <c r="F1148" s="10"/>
      <c r="G1148" s="11"/>
    </row>
    <row r="1149" spans="1:7" ht="19.95" customHeight="1" x14ac:dyDescent="0.35">
      <c r="A1149" s="16"/>
      <c r="B1149" s="14"/>
      <c r="C1149" s="7"/>
      <c r="D1149" s="8"/>
      <c r="E1149" s="9"/>
      <c r="F1149" s="10"/>
      <c r="G1149" s="11"/>
    </row>
    <row r="1150" spans="1:7" s="24" customFormat="1" ht="19.95" customHeight="1" x14ac:dyDescent="0.25">
      <c r="A1150" s="17"/>
      <c r="B1150" s="38" t="s">
        <v>247</v>
      </c>
      <c r="C1150" s="40"/>
      <c r="D1150" s="41"/>
      <c r="E1150" s="42"/>
      <c r="F1150" s="43"/>
      <c r="G1150" s="23">
        <v>20</v>
      </c>
    </row>
    <row r="1151" spans="1:7" s="33" customFormat="1" ht="19.95" customHeight="1" x14ac:dyDescent="0.25">
      <c r="A1151" s="16"/>
      <c r="B1151" s="28"/>
      <c r="C1151" s="16"/>
      <c r="D1151" s="29"/>
      <c r="E1151" s="30"/>
      <c r="F1151" s="31"/>
      <c r="G1151" s="32"/>
    </row>
    <row r="1152" spans="1:7" ht="19.95" customHeight="1" x14ac:dyDescent="0.35">
      <c r="A1152" s="13">
        <v>1</v>
      </c>
      <c r="B1152" s="14" t="s">
        <v>234</v>
      </c>
      <c r="C1152" s="7"/>
      <c r="D1152" s="8"/>
      <c r="E1152" s="9"/>
      <c r="F1152" s="10"/>
      <c r="G1152" s="11"/>
    </row>
    <row r="1153" spans="1:7" ht="19.95" customHeight="1" x14ac:dyDescent="0.35">
      <c r="A1153" s="16"/>
      <c r="B1153" s="14"/>
      <c r="C1153" s="7"/>
      <c r="D1153" s="8"/>
      <c r="E1153" s="9"/>
      <c r="F1153" s="10"/>
      <c r="G1153" s="11"/>
    </row>
    <row r="1154" spans="1:7" s="24" customFormat="1" ht="19.95" customHeight="1" x14ac:dyDescent="0.25">
      <c r="A1154" s="17"/>
      <c r="B1154" s="38" t="s">
        <v>250</v>
      </c>
      <c r="C1154" s="40"/>
      <c r="D1154" s="41"/>
      <c r="E1154" s="42"/>
      <c r="F1154" s="43"/>
      <c r="G1154" s="23">
        <v>20</v>
      </c>
    </row>
    <row r="1155" spans="1:7" s="33" customFormat="1" ht="19.95" customHeight="1" x14ac:dyDescent="0.25">
      <c r="A1155" s="16"/>
      <c r="B1155" s="28"/>
      <c r="C1155" s="16"/>
      <c r="D1155" s="29"/>
      <c r="E1155" s="30"/>
      <c r="F1155" s="31"/>
      <c r="G1155" s="32"/>
    </row>
    <row r="1156" spans="1:7" ht="19.95" customHeight="1" x14ac:dyDescent="0.35">
      <c r="A1156" s="13">
        <v>1</v>
      </c>
      <c r="B1156" s="14" t="s">
        <v>235</v>
      </c>
      <c r="C1156" s="7"/>
      <c r="D1156" s="8"/>
      <c r="E1156" s="9"/>
      <c r="F1156" s="10"/>
      <c r="G1156" s="11"/>
    </row>
    <row r="1157" spans="1:7" ht="19.95" customHeight="1" x14ac:dyDescent="0.35">
      <c r="A1157" s="16"/>
      <c r="B1157" s="14"/>
      <c r="C1157" s="7"/>
      <c r="D1157" s="8"/>
      <c r="E1157" s="9"/>
      <c r="F1157" s="10"/>
      <c r="G1157" s="11"/>
    </row>
    <row r="1158" spans="1:7" s="24" customFormat="1" ht="19.95" customHeight="1" x14ac:dyDescent="0.25">
      <c r="A1158" s="17"/>
      <c r="B1158" s="38" t="s">
        <v>247</v>
      </c>
      <c r="C1158" s="40"/>
      <c r="D1158" s="41"/>
      <c r="E1158" s="42"/>
      <c r="F1158" s="43"/>
      <c r="G1158" s="23">
        <v>50</v>
      </c>
    </row>
    <row r="1159" spans="1:7" s="33" customFormat="1" ht="19.95" customHeight="1" x14ac:dyDescent="0.25">
      <c r="A1159" s="16"/>
      <c r="B1159" s="28"/>
      <c r="C1159" s="16"/>
      <c r="D1159" s="29"/>
      <c r="E1159" s="30"/>
      <c r="F1159" s="31"/>
      <c r="G1159" s="32"/>
    </row>
    <row r="1160" spans="1:7" ht="19.95" customHeight="1" x14ac:dyDescent="0.35">
      <c r="A1160" s="13">
        <v>1</v>
      </c>
      <c r="B1160" s="14" t="s">
        <v>236</v>
      </c>
      <c r="C1160" s="7"/>
      <c r="D1160" s="8"/>
      <c r="E1160" s="9"/>
      <c r="F1160" s="10"/>
      <c r="G1160" s="11"/>
    </row>
    <row r="1161" spans="1:7" ht="19.95" customHeight="1" x14ac:dyDescent="0.35">
      <c r="A1161" s="16"/>
      <c r="B1161" s="14"/>
      <c r="C1161" s="7"/>
      <c r="D1161" s="8"/>
      <c r="E1161" s="9"/>
      <c r="F1161" s="10"/>
      <c r="G1161" s="11"/>
    </row>
    <row r="1162" spans="1:7" s="24" customFormat="1" ht="19.95" customHeight="1" x14ac:dyDescent="0.25">
      <c r="A1162" s="17"/>
      <c r="B1162" s="38" t="s">
        <v>247</v>
      </c>
      <c r="C1162" s="40"/>
      <c r="D1162" s="41"/>
      <c r="E1162" s="42"/>
      <c r="F1162" s="43"/>
      <c r="G1162" s="23">
        <v>20</v>
      </c>
    </row>
    <row r="1163" spans="1:7" s="33" customFormat="1" ht="19.95" customHeight="1" x14ac:dyDescent="0.25">
      <c r="A1163" s="16"/>
      <c r="B1163" s="28"/>
      <c r="C1163" s="16"/>
      <c r="D1163" s="29"/>
      <c r="E1163" s="30"/>
      <c r="F1163" s="31"/>
      <c r="G1163" s="32"/>
    </row>
    <row r="1164" spans="1:7" ht="19.95" customHeight="1" x14ac:dyDescent="0.35">
      <c r="A1164" s="13">
        <v>108</v>
      </c>
      <c r="B1164" s="14" t="s">
        <v>237</v>
      </c>
      <c r="C1164" s="7"/>
      <c r="D1164" s="8"/>
      <c r="E1164" s="9"/>
      <c r="F1164" s="10"/>
      <c r="G1164" s="11"/>
    </row>
    <row r="1165" spans="1:7" ht="19.95" customHeight="1" x14ac:dyDescent="0.35">
      <c r="A1165" s="16"/>
      <c r="B1165" s="14"/>
      <c r="C1165" s="7"/>
      <c r="D1165" s="8"/>
      <c r="E1165" s="9"/>
      <c r="F1165" s="10"/>
      <c r="G1165" s="11"/>
    </row>
    <row r="1166" spans="1:7" s="24" customFormat="1" ht="19.95" customHeight="1" x14ac:dyDescent="0.25">
      <c r="A1166" s="17"/>
      <c r="B1166" s="38" t="s">
        <v>250</v>
      </c>
      <c r="C1166" s="40"/>
      <c r="D1166" s="41"/>
      <c r="E1166" s="42"/>
      <c r="F1166" s="43"/>
      <c r="G1166" s="23">
        <v>10</v>
      </c>
    </row>
    <row r="1167" spans="1:7" s="33" customFormat="1" ht="19.95" customHeight="1" x14ac:dyDescent="0.25">
      <c r="A1167" s="16"/>
      <c r="B1167" s="28"/>
      <c r="C1167" s="16"/>
      <c r="D1167" s="29"/>
      <c r="E1167" s="30"/>
      <c r="F1167" s="31"/>
      <c r="G1167" s="32"/>
    </row>
    <row r="1168" spans="1:7" ht="19.95" customHeight="1" x14ac:dyDescent="0.35">
      <c r="A1168" s="13">
        <v>31</v>
      </c>
      <c r="B1168" s="14" t="s">
        <v>238</v>
      </c>
      <c r="C1168" s="7"/>
      <c r="D1168" s="8"/>
      <c r="E1168" s="9"/>
      <c r="F1168" s="10"/>
      <c r="G1168" s="11"/>
    </row>
    <row r="1169" spans="1:7" ht="19.95" customHeight="1" x14ac:dyDescent="0.35">
      <c r="A1169" s="16"/>
      <c r="B1169" s="14"/>
      <c r="C1169" s="7"/>
      <c r="D1169" s="8"/>
      <c r="E1169" s="9"/>
      <c r="F1169" s="10"/>
      <c r="G1169" s="11"/>
    </row>
    <row r="1170" spans="1:7" s="24" customFormat="1" ht="19.95" customHeight="1" x14ac:dyDescent="0.25">
      <c r="A1170" s="17"/>
      <c r="B1170" s="38" t="s">
        <v>250</v>
      </c>
      <c r="C1170" s="40"/>
      <c r="D1170" s="41"/>
      <c r="E1170" s="42"/>
      <c r="F1170" s="43"/>
      <c r="G1170" s="23">
        <v>10</v>
      </c>
    </row>
    <row r="1171" spans="1:7" s="33" customFormat="1" ht="19.95" customHeight="1" x14ac:dyDescent="0.25">
      <c r="A1171" s="16"/>
      <c r="B1171" s="28"/>
      <c r="C1171" s="16"/>
      <c r="D1171" s="29"/>
      <c r="E1171" s="30"/>
      <c r="F1171" s="31"/>
      <c r="G1171" s="32"/>
    </row>
    <row r="1172" spans="1:7" ht="19.95" customHeight="1" x14ac:dyDescent="0.35">
      <c r="A1172" s="13">
        <v>1</v>
      </c>
      <c r="B1172" s="14" t="s">
        <v>239</v>
      </c>
      <c r="C1172" s="7"/>
      <c r="D1172" s="8"/>
      <c r="E1172" s="61"/>
      <c r="F1172" s="10"/>
      <c r="G1172" s="11"/>
    </row>
    <row r="1173" spans="1:7" ht="19.95" customHeight="1" x14ac:dyDescent="0.35">
      <c r="A1173" s="16"/>
      <c r="B1173" s="14"/>
      <c r="C1173" s="7"/>
      <c r="D1173" s="8"/>
      <c r="E1173" s="61"/>
      <c r="F1173" s="10"/>
      <c r="G1173" s="11"/>
    </row>
    <row r="1174" spans="1:7" s="24" customFormat="1" ht="19.95" customHeight="1" x14ac:dyDescent="0.25">
      <c r="A1174" s="17"/>
      <c r="B1174" s="38" t="s">
        <v>247</v>
      </c>
      <c r="C1174" s="40"/>
      <c r="D1174" s="41"/>
      <c r="E1174" s="62"/>
      <c r="F1174" s="43"/>
      <c r="G1174" s="23">
        <v>20</v>
      </c>
    </row>
    <row r="1175" spans="1:7" s="24" customFormat="1" ht="19.95" customHeight="1" x14ac:dyDescent="0.25">
      <c r="A1175" s="17"/>
      <c r="B1175" s="38"/>
      <c r="C1175" s="40"/>
      <c r="D1175" s="41"/>
      <c r="E1175" s="62"/>
      <c r="F1175" s="43"/>
      <c r="G1175" s="23"/>
    </row>
    <row r="1176" spans="1:7" s="33" customFormat="1" ht="19.95" customHeight="1" x14ac:dyDescent="0.25">
      <c r="A1176" s="13">
        <v>8</v>
      </c>
      <c r="B1176" s="14" t="s">
        <v>240</v>
      </c>
      <c r="C1176" s="7"/>
      <c r="D1176" s="8"/>
      <c r="E1176" s="9"/>
      <c r="F1176" s="10"/>
      <c r="G1176" s="11"/>
    </row>
    <row r="1177" spans="1:7" s="33" customFormat="1" ht="19.95" customHeight="1" x14ac:dyDescent="0.25">
      <c r="A1177" s="16"/>
      <c r="B1177" s="14"/>
      <c r="C1177" s="7"/>
      <c r="D1177" s="8"/>
      <c r="E1177" s="9"/>
      <c r="F1177" s="10"/>
      <c r="G1177" s="11"/>
    </row>
    <row r="1178" spans="1:7" s="33" customFormat="1" ht="19.95" customHeight="1" x14ac:dyDescent="0.25">
      <c r="A1178" s="17"/>
      <c r="B1178" s="38" t="s">
        <v>241</v>
      </c>
      <c r="C1178" s="40"/>
      <c r="D1178" s="41"/>
      <c r="E1178" s="42"/>
      <c r="F1178" s="43"/>
      <c r="G1178" s="23">
        <v>8</v>
      </c>
    </row>
    <row r="1179" spans="1:7" s="33" customFormat="1" ht="19.95" customHeight="1" x14ac:dyDescent="0.25">
      <c r="A1179" s="16"/>
      <c r="B1179" s="28"/>
      <c r="C1179" s="16"/>
      <c r="D1179" s="29"/>
      <c r="E1179" s="30"/>
      <c r="F1179" s="31"/>
      <c r="G1179" s="32"/>
    </row>
    <row r="1180" spans="1:7" s="33" customFormat="1" ht="19.95" customHeight="1" x14ac:dyDescent="0.25">
      <c r="A1180" s="13">
        <v>1</v>
      </c>
      <c r="B1180" s="14" t="s">
        <v>246</v>
      </c>
      <c r="C1180" s="7"/>
      <c r="D1180" s="8"/>
      <c r="E1180" s="9"/>
      <c r="F1180" s="10"/>
      <c r="G1180" s="11"/>
    </row>
    <row r="1181" spans="1:7" s="33" customFormat="1" ht="19.95" customHeight="1" x14ac:dyDescent="0.25">
      <c r="A1181" s="16"/>
      <c r="B1181" s="14"/>
      <c r="C1181" s="7"/>
      <c r="D1181" s="8"/>
      <c r="E1181" s="9"/>
      <c r="F1181" s="10"/>
      <c r="G1181" s="11"/>
    </row>
    <row r="1182" spans="1:7" s="33" customFormat="1" ht="19.95" customHeight="1" x14ac:dyDescent="0.25">
      <c r="A1182" s="17"/>
      <c r="B1182" s="38" t="s">
        <v>247</v>
      </c>
      <c r="C1182" s="40"/>
      <c r="D1182" s="41"/>
      <c r="E1182" s="42"/>
      <c r="F1182" s="43"/>
      <c r="G1182" s="23">
        <v>10</v>
      </c>
    </row>
    <row r="1183" spans="1:7" s="33" customFormat="1" ht="19.95" customHeight="1" x14ac:dyDescent="0.25">
      <c r="A1183" s="17"/>
      <c r="B1183" s="38"/>
      <c r="C1183" s="40"/>
      <c r="D1183" s="41"/>
      <c r="E1183" s="42"/>
      <c r="F1183" s="43"/>
      <c r="G1183" s="23"/>
    </row>
    <row r="1184" spans="1:7" ht="19.95" customHeight="1" x14ac:dyDescent="0.35">
      <c r="A1184" s="13">
        <v>1</v>
      </c>
      <c r="B1184" s="14" t="s">
        <v>432</v>
      </c>
      <c r="C1184" s="7"/>
      <c r="D1184" s="8"/>
      <c r="E1184" s="9"/>
      <c r="F1184" s="10"/>
      <c r="G1184" s="11"/>
    </row>
    <row r="1185" spans="1:7" s="24" customFormat="1" ht="19.95" customHeight="1" x14ac:dyDescent="0.25">
      <c r="A1185" s="16"/>
      <c r="B1185" s="14" t="s">
        <v>247</v>
      </c>
      <c r="C1185" s="7"/>
      <c r="D1185" s="8"/>
      <c r="E1185" s="9"/>
      <c r="F1185" s="10"/>
      <c r="G1185" s="11"/>
    </row>
    <row r="1186" spans="1:7" s="33" customFormat="1" ht="19.95" customHeight="1" x14ac:dyDescent="0.25">
      <c r="A1186" s="17"/>
      <c r="B1186" s="38" t="s">
        <v>433</v>
      </c>
      <c r="C1186" s="40"/>
      <c r="D1186" s="41"/>
      <c r="E1186" s="42"/>
      <c r="F1186" s="43"/>
      <c r="G1186" s="23">
        <v>1</v>
      </c>
    </row>
    <row r="1187" spans="1:7" s="33" customFormat="1" ht="19.95" customHeight="1" x14ac:dyDescent="0.25">
      <c r="A1187" s="17"/>
      <c r="B1187" s="38" t="s">
        <v>434</v>
      </c>
      <c r="C1187" s="40"/>
      <c r="D1187" s="41"/>
      <c r="E1187" s="42"/>
      <c r="F1187" s="43"/>
      <c r="G1187" s="23">
        <v>1</v>
      </c>
    </row>
    <row r="1188" spans="1:7" s="33" customFormat="1" ht="19.95" customHeight="1" x14ac:dyDescent="0.25">
      <c r="A1188" s="17"/>
      <c r="B1188" s="38" t="s">
        <v>435</v>
      </c>
      <c r="C1188" s="40"/>
      <c r="D1188" s="41"/>
      <c r="E1188" s="42"/>
      <c r="F1188" s="43"/>
      <c r="G1188" s="23">
        <v>1</v>
      </c>
    </row>
    <row r="1189" spans="1:7" s="33" customFormat="1" ht="19.95" customHeight="1" x14ac:dyDescent="0.25">
      <c r="A1189" s="17"/>
      <c r="B1189" s="38" t="s">
        <v>436</v>
      </c>
      <c r="C1189" s="40"/>
      <c r="D1189" s="41"/>
      <c r="E1189" s="42"/>
      <c r="F1189" s="43"/>
      <c r="G1189" s="23">
        <v>1</v>
      </c>
    </row>
    <row r="1190" spans="1:7" s="33" customFormat="1" ht="19.95" customHeight="1" x14ac:dyDescent="0.25">
      <c r="A1190" s="17"/>
      <c r="B1190" s="38" t="s">
        <v>437</v>
      </c>
      <c r="C1190" s="40"/>
      <c r="D1190" s="41"/>
      <c r="E1190" s="42"/>
      <c r="F1190" s="43"/>
      <c r="G1190" s="23">
        <v>1</v>
      </c>
    </row>
    <row r="1191" spans="1:7" s="33" customFormat="1" ht="19.95" customHeight="1" x14ac:dyDescent="0.25">
      <c r="A1191" s="17"/>
      <c r="B1191" s="38" t="s">
        <v>438</v>
      </c>
      <c r="C1191" s="40"/>
      <c r="D1191" s="41"/>
      <c r="E1191" s="42"/>
      <c r="F1191" s="43"/>
      <c r="G1191" s="23">
        <v>1</v>
      </c>
    </row>
    <row r="1192" spans="1:7" s="33" customFormat="1" ht="19.95" customHeight="1" x14ac:dyDescent="0.25">
      <c r="A1192" s="17"/>
      <c r="B1192" s="38" t="s">
        <v>439</v>
      </c>
      <c r="C1192" s="40"/>
      <c r="D1192" s="41"/>
      <c r="E1192" s="42"/>
      <c r="F1192" s="43"/>
      <c r="G1192" s="23">
        <v>1</v>
      </c>
    </row>
    <row r="1193" spans="1:7" s="33" customFormat="1" ht="19.95" customHeight="1" x14ac:dyDescent="0.25">
      <c r="A1193" s="17"/>
      <c r="B1193" s="38" t="s">
        <v>440</v>
      </c>
      <c r="C1193" s="40"/>
      <c r="D1193" s="41"/>
      <c r="E1193" s="42"/>
      <c r="F1193" s="43"/>
      <c r="G1193" s="23">
        <v>1</v>
      </c>
    </row>
    <row r="1194" spans="1:7" s="33" customFormat="1" ht="19.95" customHeight="1" x14ac:dyDescent="0.25">
      <c r="A1194" s="17"/>
      <c r="B1194" s="38" t="s">
        <v>441</v>
      </c>
      <c r="C1194" s="40"/>
      <c r="D1194" s="41"/>
      <c r="E1194" s="42"/>
      <c r="F1194" s="43"/>
      <c r="G1194" s="23">
        <v>1</v>
      </c>
    </row>
    <row r="1195" spans="1:7" s="33" customFormat="1" ht="19.95" customHeight="1" x14ac:dyDescent="0.25">
      <c r="A1195" s="17"/>
      <c r="B1195" s="38" t="s">
        <v>442</v>
      </c>
      <c r="C1195" s="40"/>
      <c r="D1195" s="41"/>
      <c r="E1195" s="42"/>
      <c r="F1195" s="43"/>
      <c r="G1195" s="23">
        <v>1</v>
      </c>
    </row>
    <row r="1196" spans="1:7" s="33" customFormat="1" ht="19.95" customHeight="1" x14ac:dyDescent="0.25">
      <c r="A1196" s="17"/>
      <c r="B1196" s="38" t="s">
        <v>443</v>
      </c>
      <c r="C1196" s="40"/>
      <c r="D1196" s="41"/>
      <c r="E1196" s="42"/>
      <c r="F1196" s="43"/>
      <c r="G1196" s="23">
        <v>1</v>
      </c>
    </row>
    <row r="1197" spans="1:7" s="33" customFormat="1" ht="19.95" customHeight="1" x14ac:dyDescent="0.25">
      <c r="A1197" s="17"/>
      <c r="B1197" s="38" t="s">
        <v>444</v>
      </c>
      <c r="C1197" s="40"/>
      <c r="D1197" s="41"/>
      <c r="E1197" s="42"/>
      <c r="F1197" s="43"/>
      <c r="G1197" s="23">
        <v>1</v>
      </c>
    </row>
    <row r="1198" spans="1:7" s="33" customFormat="1" ht="19.95" customHeight="1" x14ac:dyDescent="0.25">
      <c r="A1198" s="17"/>
      <c r="B1198" s="38" t="s">
        <v>445</v>
      </c>
      <c r="C1198" s="40"/>
      <c r="D1198" s="41"/>
      <c r="E1198" s="42"/>
      <c r="F1198" s="43"/>
      <c r="G1198" s="23">
        <v>1</v>
      </c>
    </row>
    <row r="1199" spans="1:7" s="33" customFormat="1" ht="19.95" customHeight="1" x14ac:dyDescent="0.25">
      <c r="A1199" s="17"/>
      <c r="B1199" s="38" t="s">
        <v>446</v>
      </c>
      <c r="C1199" s="40"/>
      <c r="D1199" s="41"/>
      <c r="E1199" s="42"/>
      <c r="F1199" s="43"/>
      <c r="G1199" s="23">
        <v>1</v>
      </c>
    </row>
    <row r="1200" spans="1:7" s="33" customFormat="1" ht="19.95" customHeight="1" x14ac:dyDescent="0.25">
      <c r="A1200" s="17"/>
      <c r="B1200" s="38" t="s">
        <v>447</v>
      </c>
      <c r="C1200" s="40"/>
      <c r="D1200" s="41"/>
      <c r="E1200" s="42"/>
      <c r="F1200" s="43"/>
      <c r="G1200" s="23">
        <v>1</v>
      </c>
    </row>
    <row r="1201" spans="1:7" s="33" customFormat="1" ht="19.95" customHeight="1" x14ac:dyDescent="0.25">
      <c r="A1201" s="17"/>
      <c r="B1201" s="38" t="s">
        <v>448</v>
      </c>
      <c r="C1201" s="40"/>
      <c r="D1201" s="41"/>
      <c r="E1201" s="42"/>
      <c r="F1201" s="43"/>
      <c r="G1201" s="23">
        <v>1</v>
      </c>
    </row>
    <row r="1202" spans="1:7" s="33" customFormat="1" ht="19.95" customHeight="1" x14ac:dyDescent="0.25">
      <c r="A1202" s="17"/>
      <c r="B1202" s="38" t="s">
        <v>449</v>
      </c>
      <c r="C1202" s="40"/>
      <c r="D1202" s="41"/>
      <c r="E1202" s="42"/>
      <c r="F1202" s="43"/>
      <c r="G1202" s="23">
        <v>1</v>
      </c>
    </row>
    <row r="1203" spans="1:7" s="33" customFormat="1" ht="19.95" customHeight="1" x14ac:dyDescent="0.25">
      <c r="A1203" s="17"/>
      <c r="B1203" s="38" t="s">
        <v>450</v>
      </c>
      <c r="C1203" s="40"/>
      <c r="D1203" s="41"/>
      <c r="E1203" s="42"/>
      <c r="F1203" s="43"/>
      <c r="G1203" s="23">
        <v>1</v>
      </c>
    </row>
    <row r="1204" spans="1:7" s="33" customFormat="1" ht="19.95" customHeight="1" x14ac:dyDescent="0.25">
      <c r="A1204" s="17"/>
      <c r="B1204" s="38" t="s">
        <v>451</v>
      </c>
      <c r="C1204" s="40"/>
      <c r="D1204" s="41"/>
      <c r="E1204" s="42"/>
      <c r="F1204" s="43"/>
      <c r="G1204" s="23">
        <v>1</v>
      </c>
    </row>
    <row r="1205" spans="1:7" s="33" customFormat="1" ht="19.95" customHeight="1" x14ac:dyDescent="0.25">
      <c r="A1205" s="17"/>
      <c r="B1205" s="38" t="s">
        <v>452</v>
      </c>
      <c r="C1205" s="40"/>
      <c r="D1205" s="41"/>
      <c r="E1205" s="42"/>
      <c r="F1205" s="43"/>
      <c r="G1205" s="23">
        <v>1</v>
      </c>
    </row>
    <row r="1206" spans="1:7" s="33" customFormat="1" ht="19.95" customHeight="1" x14ac:dyDescent="0.25">
      <c r="A1206" s="17"/>
      <c r="B1206" s="38" t="s">
        <v>453</v>
      </c>
      <c r="C1206" s="40"/>
      <c r="D1206" s="41"/>
      <c r="E1206" s="42"/>
      <c r="F1206" s="43"/>
      <c r="G1206" s="23">
        <v>1</v>
      </c>
    </row>
    <row r="1207" spans="1:7" s="33" customFormat="1" ht="19.95" customHeight="1" x14ac:dyDescent="0.25">
      <c r="A1207" s="17"/>
      <c r="B1207" s="38" t="s">
        <v>454</v>
      </c>
      <c r="C1207" s="40"/>
      <c r="D1207" s="41"/>
      <c r="E1207" s="42"/>
      <c r="F1207" s="43"/>
      <c r="G1207" s="23">
        <v>1</v>
      </c>
    </row>
    <row r="1208" spans="1:7" s="33" customFormat="1" ht="19.95" customHeight="1" x14ac:dyDescent="0.25">
      <c r="A1208" s="17"/>
      <c r="B1208" s="38" t="s">
        <v>455</v>
      </c>
      <c r="C1208" s="40"/>
      <c r="D1208" s="41"/>
      <c r="E1208" s="42"/>
      <c r="F1208" s="43"/>
      <c r="G1208" s="23">
        <v>1</v>
      </c>
    </row>
    <row r="1209" spans="1:7" s="33" customFormat="1" ht="19.95" customHeight="1" x14ac:dyDescent="0.25">
      <c r="A1209" s="17"/>
      <c r="B1209" s="38" t="s">
        <v>456</v>
      </c>
      <c r="C1209" s="40"/>
      <c r="D1209" s="41"/>
      <c r="E1209" s="42"/>
      <c r="F1209" s="43"/>
      <c r="G1209" s="23">
        <v>1</v>
      </c>
    </row>
    <row r="1210" spans="1:7" s="33" customFormat="1" ht="19.95" customHeight="1" x14ac:dyDescent="0.25">
      <c r="A1210" s="17"/>
      <c r="B1210" s="38" t="s">
        <v>457</v>
      </c>
      <c r="C1210" s="40"/>
      <c r="D1210" s="41"/>
      <c r="E1210" s="42"/>
      <c r="F1210" s="43"/>
      <c r="G1210" s="23">
        <v>1</v>
      </c>
    </row>
    <row r="1211" spans="1:7" s="33" customFormat="1" ht="19.95" customHeight="1" x14ac:dyDescent="0.25">
      <c r="A1211" s="17"/>
      <c r="B1211" s="38" t="s">
        <v>458</v>
      </c>
      <c r="C1211" s="40"/>
      <c r="D1211" s="41"/>
      <c r="E1211" s="42"/>
      <c r="F1211" s="43"/>
      <c r="G1211" s="23">
        <v>1</v>
      </c>
    </row>
    <row r="1212" spans="1:7" s="33" customFormat="1" ht="19.95" customHeight="1" x14ac:dyDescent="0.25">
      <c r="A1212" s="17"/>
      <c r="B1212" s="38" t="s">
        <v>459</v>
      </c>
      <c r="C1212" s="40"/>
      <c r="D1212" s="41"/>
      <c r="E1212" s="42"/>
      <c r="F1212" s="43"/>
      <c r="G1212" s="23">
        <v>1</v>
      </c>
    </row>
    <row r="1213" spans="1:7" s="33" customFormat="1" ht="19.95" customHeight="1" x14ac:dyDescent="0.25">
      <c r="A1213" s="17"/>
      <c r="B1213" s="38"/>
      <c r="C1213" s="40"/>
      <c r="D1213" s="41"/>
      <c r="E1213" s="42"/>
      <c r="F1213" s="43"/>
      <c r="G1213" s="23"/>
    </row>
    <row r="1214" spans="1:7" s="24" customFormat="1" ht="19.95" customHeight="1" x14ac:dyDescent="0.25">
      <c r="A1214" s="13">
        <v>1</v>
      </c>
      <c r="B1214" s="14" t="s">
        <v>88</v>
      </c>
      <c r="C1214" s="7"/>
      <c r="D1214" s="8"/>
      <c r="E1214" s="61"/>
      <c r="F1214" s="10"/>
      <c r="G1214" s="11"/>
    </row>
    <row r="1215" spans="1:7" s="24" customFormat="1" ht="19.95" customHeight="1" x14ac:dyDescent="0.25">
      <c r="A1215" s="16"/>
      <c r="B1215" s="14"/>
      <c r="C1215" s="7"/>
      <c r="D1215" s="8"/>
      <c r="E1215" s="61"/>
      <c r="F1215" s="10"/>
      <c r="G1215" s="11"/>
    </row>
    <row r="1216" spans="1:7" s="24" customFormat="1" ht="19.95" customHeight="1" x14ac:dyDescent="0.25">
      <c r="A1216" s="17"/>
      <c r="B1216" s="38" t="s">
        <v>247</v>
      </c>
      <c r="C1216" s="40"/>
      <c r="D1216" s="41"/>
      <c r="E1216" s="62"/>
      <c r="F1216" s="43"/>
      <c r="G1216" s="23">
        <v>5</v>
      </c>
    </row>
    <row r="1217" spans="1:7" s="24" customFormat="1" ht="19.95" customHeight="1" x14ac:dyDescent="0.25">
      <c r="A1217" s="16"/>
      <c r="B1217" s="28"/>
      <c r="C1217" s="16"/>
      <c r="D1217" s="29"/>
      <c r="E1217" s="63"/>
      <c r="F1217" s="31"/>
      <c r="G1217" s="32"/>
    </row>
    <row r="1218" spans="1:7" ht="19.95" customHeight="1" x14ac:dyDescent="0.35">
      <c r="A1218" s="13">
        <v>1</v>
      </c>
      <c r="B1218" s="14" t="s">
        <v>154</v>
      </c>
      <c r="C1218" s="7"/>
      <c r="D1218" s="8"/>
      <c r="E1218" s="9"/>
      <c r="F1218" s="10"/>
      <c r="G1218" s="11"/>
    </row>
    <row r="1219" spans="1:7" s="24" customFormat="1" ht="19.95" customHeight="1" x14ac:dyDescent="0.25">
      <c r="A1219" s="16"/>
      <c r="B1219" s="14"/>
      <c r="C1219" s="7"/>
      <c r="D1219" s="8"/>
      <c r="E1219" s="9"/>
      <c r="F1219" s="10"/>
      <c r="G1219" s="11"/>
    </row>
    <row r="1220" spans="1:7" s="33" customFormat="1" ht="19.95" customHeight="1" x14ac:dyDescent="0.25">
      <c r="A1220" s="52"/>
      <c r="B1220" s="38" t="s">
        <v>247</v>
      </c>
      <c r="C1220" s="40"/>
      <c r="D1220" s="41"/>
      <c r="E1220" s="42"/>
      <c r="F1220" s="43"/>
      <c r="G1220" s="23">
        <v>20</v>
      </c>
    </row>
    <row r="1221" spans="1:7" s="33" customFormat="1" ht="19.95" customHeight="1" x14ac:dyDescent="0.25">
      <c r="A1221" s="52"/>
      <c r="B1221" s="38"/>
      <c r="C1221" s="40"/>
      <c r="D1221" s="41"/>
      <c r="E1221" s="42"/>
      <c r="F1221" s="43"/>
      <c r="G1221" s="23"/>
    </row>
    <row r="1222" spans="1:7" s="24" customFormat="1" ht="19.95" customHeight="1" x14ac:dyDescent="0.25">
      <c r="A1222" s="13">
        <v>3</v>
      </c>
      <c r="B1222" s="14" t="s">
        <v>174</v>
      </c>
      <c r="C1222" s="7"/>
      <c r="D1222" s="8"/>
      <c r="E1222" s="9"/>
      <c r="F1222" s="10"/>
      <c r="G1222" s="11"/>
    </row>
    <row r="1223" spans="1:7" s="24" customFormat="1" ht="19.95" customHeight="1" x14ac:dyDescent="0.25">
      <c r="A1223" s="16"/>
      <c r="B1223" s="14" t="s">
        <v>251</v>
      </c>
      <c r="C1223" s="7"/>
      <c r="D1223" s="8"/>
      <c r="E1223" s="9"/>
      <c r="F1223" s="10"/>
      <c r="G1223" s="11"/>
    </row>
    <row r="1224" spans="1:7" s="12" customFormat="1" ht="19.2" customHeight="1" x14ac:dyDescent="0.3">
      <c r="A1224" s="17"/>
      <c r="B1224" s="38" t="s">
        <v>252</v>
      </c>
      <c r="C1224" s="40"/>
      <c r="D1224" s="41"/>
      <c r="E1224" s="42"/>
      <c r="F1224" s="43"/>
      <c r="G1224" s="23">
        <v>3</v>
      </c>
    </row>
    <row r="1225" spans="1:7" s="12" customFormat="1" ht="19.2" customHeight="1" x14ac:dyDescent="0.3">
      <c r="A1225" s="17"/>
      <c r="B1225" s="38" t="s">
        <v>253</v>
      </c>
      <c r="C1225" s="40"/>
      <c r="D1225" s="41"/>
      <c r="E1225" s="42"/>
      <c r="F1225" s="43"/>
      <c r="G1225" s="23">
        <v>3</v>
      </c>
    </row>
    <row r="1226" spans="1:7" s="12" customFormat="1" ht="19.2" customHeight="1" x14ac:dyDescent="0.3">
      <c r="A1226" s="17"/>
      <c r="B1226" s="38" t="s">
        <v>254</v>
      </c>
      <c r="C1226" s="40"/>
      <c r="D1226" s="41"/>
      <c r="E1226" s="42"/>
      <c r="F1226" s="43"/>
      <c r="G1226" s="23">
        <v>3</v>
      </c>
    </row>
    <row r="1227" spans="1:7" s="12" customFormat="1" ht="19.2" customHeight="1" x14ac:dyDescent="0.3">
      <c r="A1227" s="17"/>
      <c r="B1227" s="38" t="s">
        <v>255</v>
      </c>
      <c r="C1227" s="40"/>
      <c r="D1227" s="41"/>
      <c r="E1227" s="42"/>
      <c r="F1227" s="43"/>
      <c r="G1227" s="23">
        <v>3</v>
      </c>
    </row>
    <row r="1228" spans="1:7" s="12" customFormat="1" ht="19.2" customHeight="1" x14ac:dyDescent="0.3">
      <c r="A1228" s="17"/>
      <c r="B1228" s="38" t="s">
        <v>256</v>
      </c>
      <c r="C1228" s="40"/>
      <c r="D1228" s="41"/>
      <c r="E1228" s="42"/>
      <c r="F1228" s="43"/>
      <c r="G1228" s="23">
        <v>3</v>
      </c>
    </row>
    <row r="1229" spans="1:7" s="12" customFormat="1" ht="19.2" customHeight="1" x14ac:dyDescent="0.3">
      <c r="A1229" s="17"/>
      <c r="B1229" s="38" t="s">
        <v>257</v>
      </c>
      <c r="C1229" s="40"/>
      <c r="D1229" s="41"/>
      <c r="E1229" s="42"/>
      <c r="F1229" s="43"/>
      <c r="G1229" s="23">
        <v>3</v>
      </c>
    </row>
    <row r="1230" spans="1:7" ht="19.95" customHeight="1" x14ac:dyDescent="0.35">
      <c r="A1230" s="16"/>
      <c r="B1230" s="28"/>
      <c r="C1230" s="16"/>
      <c r="D1230" s="29"/>
      <c r="E1230" s="30"/>
      <c r="F1230" s="31"/>
      <c r="G1230" s="32"/>
    </row>
    <row r="1231" spans="1:7" s="24" customFormat="1" ht="19.95" customHeight="1" x14ac:dyDescent="0.25">
      <c r="A1231" s="44"/>
      <c r="B1231" s="45" t="s">
        <v>10</v>
      </c>
      <c r="C1231" s="46">
        <f>SUM(C1154:C1174)</f>
        <v>0</v>
      </c>
      <c r="D1231" s="46">
        <f t="shared" ref="D1231:F1231" si="4">SUM(D1154:D1174)</f>
        <v>0</v>
      </c>
      <c r="E1231" s="46">
        <f t="shared" si="4"/>
        <v>0</v>
      </c>
      <c r="F1231" s="46">
        <f t="shared" si="4"/>
        <v>0</v>
      </c>
      <c r="G1231" s="46">
        <f>SUM(G1128:G1230)</f>
        <v>3207</v>
      </c>
    </row>
  </sheetData>
  <autoFilter ref="A11:BK1231"/>
  <mergeCells count="30">
    <mergeCell ref="C218:G218"/>
    <mergeCell ref="C11:G11"/>
    <mergeCell ref="C42:G42"/>
    <mergeCell ref="C84:G84"/>
    <mergeCell ref="C133:G133"/>
    <mergeCell ref="C166:G166"/>
    <mergeCell ref="C1040:G1040"/>
    <mergeCell ref="C246:G246"/>
    <mergeCell ref="C277:G277"/>
    <mergeCell ref="C377:G377"/>
    <mergeCell ref="C437:G437"/>
    <mergeCell ref="C495:G495"/>
    <mergeCell ref="C587:G587"/>
    <mergeCell ref="C673:G673"/>
    <mergeCell ref="C751:G751"/>
    <mergeCell ref="C817:G817"/>
    <mergeCell ref="C862:G862"/>
    <mergeCell ref="C970:G970"/>
    <mergeCell ref="C1126:G1126"/>
    <mergeCell ref="C1086:C1087"/>
    <mergeCell ref="D1086:D1087"/>
    <mergeCell ref="E1086:E1087"/>
    <mergeCell ref="F1086:F1087"/>
    <mergeCell ref="G1086:G1087"/>
    <mergeCell ref="C1105:G1105"/>
    <mergeCell ref="C1115:C1116"/>
    <mergeCell ref="D1115:D1116"/>
    <mergeCell ref="E1115:E1116"/>
    <mergeCell ref="F1115:F1116"/>
    <mergeCell ref="G1115:G1116"/>
  </mergeCells>
  <pageMargins left="0.25" right="0.25" top="0.49" bottom="0.31" header="0.35" footer="0.3"/>
  <pageSetup paperSize="9" scale="83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As per Site </vt:lpstr>
      <vt:lpstr>Approved</vt:lpstr>
      <vt:lpstr>Approved!Print_Area</vt:lpstr>
      <vt:lpstr>'As per Site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2026-07-01T15:23:14Z</cp:lastPrinted>
  <dcterms:created xsi:type="dcterms:W3CDTF">2026-02-16T06:54:58Z</dcterms:created>
  <dcterms:modified xsi:type="dcterms:W3CDTF">2026-07-01T15:30:39Z</dcterms:modified>
</cp:coreProperties>
</file>